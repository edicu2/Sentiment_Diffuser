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현재_통합_문서"/>
  <mc:AlternateContent xmlns:mc="http://schemas.openxmlformats.org/markup-compatibility/2006">
    <mc:Choice Requires="x15">
      <x15ac:absPath xmlns:x15ac="http://schemas.microsoft.com/office/spreadsheetml/2010/11/ac" url="C:\Users\UX410UF\Documents\GitHub\Diffuser\documents\5. diffuser_간트차트\"/>
    </mc:Choice>
  </mc:AlternateContent>
  <xr:revisionPtr revIDLastSave="0" documentId="13_ncr:1_{3A0280DA-241E-4635-99F3-1B82C06479FE}" xr6:coauthVersionLast="41" xr6:coauthVersionMax="41" xr10:uidLastSave="{00000000-0000-0000-0000-000000000000}"/>
  <bookViews>
    <workbookView xWindow="-120" yWindow="-120" windowWidth="24240" windowHeight="1329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9"/>
  <definedNames>
    <definedName name="_xlnm._FilterDatabase" localSheetId="0" hidden="1">Schedule!$A$1:$AB$92</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8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workbook>
</file>

<file path=xl/calcChain.xml><?xml version="1.0" encoding="utf-8"?>
<calcChain xmlns="http://schemas.openxmlformats.org/spreadsheetml/2006/main">
  <c r="W5" i="1" l="1"/>
  <c r="BU5" i="1"/>
  <c r="CW5" i="1"/>
  <c r="W6" i="1"/>
  <c r="BU6" i="1"/>
  <c r="BZ6" i="1"/>
  <c r="BU7" i="1"/>
  <c r="BX7" i="1"/>
  <c r="W8" i="1"/>
  <c r="BV8" i="1"/>
  <c r="BY8" i="1"/>
  <c r="BV9" i="1"/>
  <c r="BW9" i="1"/>
  <c r="W10" i="1"/>
  <c r="CN10" i="1"/>
  <c r="CQ10" i="1"/>
  <c r="W11" i="1"/>
  <c r="DY11" i="1"/>
  <c r="EX11" i="1"/>
  <c r="W12" i="1"/>
  <c r="DY12" i="1"/>
  <c r="EC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ET21" i="1"/>
  <c r="W22" i="1"/>
  <c r="BV22" i="1"/>
  <c r="CN22" i="1"/>
  <c r="W23" i="1"/>
  <c r="BV23" i="1"/>
  <c r="CQ23" i="1"/>
  <c r="W24" i="1"/>
  <c r="BV24" i="1"/>
  <c r="CL24" i="1"/>
  <c r="W25" i="1"/>
  <c r="BV25" i="1"/>
  <c r="CL25" i="1"/>
  <c r="W26" i="1"/>
  <c r="CO26" i="1"/>
  <c r="DG26" i="1"/>
  <c r="W27" i="1"/>
  <c r="CO27" i="1"/>
  <c r="DG27" i="1"/>
  <c r="W28" i="1"/>
  <c r="CO28" i="1"/>
  <c r="CW28" i="1"/>
  <c r="W29" i="1"/>
  <c r="CU29" i="1"/>
  <c r="DB29" i="1"/>
  <c r="W30" i="1"/>
  <c r="CU30" i="1"/>
  <c r="DG30" i="1"/>
  <c r="W31" i="1"/>
  <c r="CU31" i="1"/>
  <c r="DG31" i="1"/>
  <c r="W32" i="1"/>
  <c r="CO32" i="1"/>
  <c r="DG32" i="1"/>
  <c r="W33" i="1"/>
  <c r="CO33" i="1"/>
  <c r="DG33" i="1"/>
  <c r="W34" i="1"/>
  <c r="CO34" i="1"/>
  <c r="DG34" i="1"/>
  <c r="W35" i="1"/>
  <c r="CO35" i="1"/>
  <c r="DG35" i="1"/>
  <c r="W36" i="1"/>
  <c r="DF36" i="1"/>
  <c r="FA36" i="1"/>
  <c r="W37" i="1"/>
  <c r="DF37" i="1"/>
  <c r="FB37" i="1"/>
  <c r="W38" i="1"/>
  <c r="DJ38" i="1"/>
  <c r="DK38" i="1"/>
  <c r="W39" i="1"/>
  <c r="DF39" i="1"/>
  <c r="FB39" i="1"/>
  <c r="W40" i="1"/>
  <c r="DF40" i="1"/>
  <c r="DV40" i="1"/>
  <c r="W41" i="1"/>
  <c r="DF41" i="1"/>
  <c r="DO41" i="1"/>
  <c r="W42" i="1"/>
  <c r="DP42" i="1"/>
  <c r="DY42" i="1"/>
  <c r="W43" i="1"/>
  <c r="EB43" i="1"/>
  <c r="EF43" i="1"/>
  <c r="W44" i="1"/>
  <c r="EK44" i="1"/>
  <c r="EP44" i="1"/>
  <c r="W45" i="1"/>
  <c r="EY45" i="1"/>
  <c r="EZ45" i="1"/>
  <c r="W46" i="1"/>
  <c r="DN46" i="1"/>
  <c r="DO46" i="1"/>
  <c r="S47" i="1"/>
  <c r="W47" i="1"/>
  <c r="FF47" i="1"/>
  <c r="FG47" i="1"/>
  <c r="W48" i="1"/>
  <c r="DR48" i="1"/>
  <c r="FJ48" i="1"/>
  <c r="W49" i="1"/>
  <c r="DR49" i="1"/>
  <c r="EN49" i="1"/>
  <c r="W50" i="1"/>
  <c r="DS50" i="1"/>
  <c r="DY50" i="1"/>
  <c r="W51" i="1"/>
  <c r="DT51" i="1"/>
  <c r="EA51" i="1"/>
  <c r="W52" i="1"/>
  <c r="DU52" i="1"/>
  <c r="DY52" i="1"/>
  <c r="W53" i="1"/>
  <c r="DV53" i="1"/>
  <c r="EI53" i="1"/>
  <c r="W54" i="1"/>
  <c r="DW54" i="1"/>
  <c r="EN54" i="1"/>
  <c r="W55" i="1"/>
  <c r="EL55" i="1"/>
  <c r="ER55" i="1"/>
  <c r="W56" i="1"/>
  <c r="EE56" i="1"/>
  <c r="FM56" i="1"/>
  <c r="W57" i="1"/>
  <c r="EE57" i="1"/>
  <c r="FM57" i="1"/>
  <c r="W58" i="1"/>
  <c r="EE58" i="1"/>
  <c r="FQ58" i="1"/>
  <c r="W59" i="1"/>
  <c r="EF59" i="1"/>
  <c r="EY59" i="1"/>
  <c r="W60" i="1"/>
  <c r="EG60" i="1"/>
  <c r="EH60" i="1"/>
  <c r="S61" i="1"/>
  <c r="W61" i="1"/>
  <c r="FL61" i="1"/>
  <c r="FM61" i="1"/>
  <c r="S62" i="1"/>
  <c r="W62" i="1"/>
  <c r="FB62" i="1"/>
  <c r="FJ62" i="1"/>
  <c r="W63" i="1"/>
  <c r="EH63" i="1"/>
  <c r="ES63" i="1"/>
  <c r="W64" i="1"/>
  <c r="EY64" i="1"/>
  <c r="EZ64" i="1"/>
  <c r="W65" i="1"/>
  <c r="EV65" i="1"/>
  <c r="EW65" i="1"/>
  <c r="S66" i="1"/>
  <c r="W66" i="1"/>
  <c r="FL66" i="1"/>
  <c r="FM66" i="1"/>
  <c r="S67" i="1"/>
  <c r="W67" i="1"/>
  <c r="FF67" i="1"/>
  <c r="FG67" i="1"/>
  <c r="S68" i="1"/>
  <c r="W68" i="1"/>
  <c r="FK68" i="1"/>
  <c r="FL68" i="1"/>
  <c r="W69" i="1"/>
  <c r="EH69" i="1"/>
  <c r="EZ69" i="1"/>
  <c r="W70" i="1"/>
  <c r="EL70" i="1"/>
  <c r="EX70" i="1"/>
  <c r="W71" i="1"/>
  <c r="EH71" i="1"/>
  <c r="EX71" i="1"/>
  <c r="W72" i="1"/>
  <c r="EY72" i="1"/>
  <c r="EZ72" i="1"/>
  <c r="W73" i="1"/>
  <c r="EY73" i="1"/>
  <c r="FC73" i="1"/>
  <c r="S74" i="1"/>
  <c r="W74" i="1"/>
  <c r="FE74" i="1"/>
  <c r="FI74" i="1"/>
  <c r="S75" i="1"/>
  <c r="W75" i="1"/>
  <c r="FE75" i="1"/>
  <c r="FF75" i="1"/>
  <c r="S76" i="1"/>
  <c r="W76" i="1"/>
  <c r="FP76" i="1"/>
  <c r="FQ76" i="1"/>
  <c r="W77" i="1"/>
  <c r="ES77" i="1"/>
  <c r="HL77" i="1"/>
  <c r="W78" i="1"/>
  <c r="ES78" i="1"/>
  <c r="EX78" i="1"/>
  <c r="W79" i="1"/>
  <c r="EW79" i="1"/>
  <c r="EZ79" i="1"/>
  <c r="W80" i="1"/>
  <c r="ES80" i="1"/>
  <c r="HL80" i="1"/>
  <c r="W81" i="1"/>
  <c r="EY81" i="1"/>
  <c r="FC81" i="1"/>
  <c r="S82" i="1"/>
  <c r="W82" i="1"/>
  <c r="FC82" i="1"/>
  <c r="FF82" i="1"/>
  <c r="S83" i="1"/>
  <c r="W83" i="1"/>
  <c r="HV83" i="1"/>
  <c r="HW83" i="1"/>
  <c r="S84" i="1"/>
  <c r="W84" i="1"/>
  <c r="HV84" i="1"/>
  <c r="HW84" i="1"/>
  <c r="S85" i="1"/>
  <c r="W85" i="1"/>
  <c r="HV85" i="1"/>
  <c r="HW85" i="1"/>
  <c r="S86" i="1"/>
  <c r="W86" i="1"/>
  <c r="IB86" i="1"/>
  <c r="IC86" i="1"/>
  <c r="S87" i="1"/>
  <c r="W87" i="1"/>
  <c r="IB87" i="1"/>
  <c r="IC87" i="1"/>
  <c r="S88" i="1"/>
  <c r="W88" i="1"/>
  <c r="IB88" i="1"/>
  <c r="IC88" i="1"/>
  <c r="S89" i="1"/>
  <c r="W89" i="1"/>
  <c r="IC89" i="1"/>
  <c r="ID89" i="1"/>
  <c r="S90" i="1"/>
  <c r="W90" i="1"/>
  <c r="IC90" i="1"/>
  <c r="ID90" i="1"/>
  <c r="S91" i="1"/>
  <c r="W91" i="1"/>
  <c r="IC91" i="1"/>
  <c r="ID91" i="1"/>
  <c r="S92" i="1"/>
  <c r="W92" i="1"/>
  <c r="IH92" i="1"/>
  <c r="II92" i="1"/>
  <c r="R5" i="1"/>
  <c r="R13" i="1"/>
  <c r="R22" i="1"/>
  <c r="R30" i="1"/>
  <c r="R38" i="1"/>
  <c r="R46" i="1"/>
  <c r="R54" i="1"/>
  <c r="S57" i="1"/>
  <c r="R62" i="1"/>
  <c r="S65" i="1"/>
  <c r="R70" i="1"/>
  <c r="S73" i="1"/>
  <c r="R78" i="1"/>
  <c r="S81" i="1"/>
  <c r="R86" i="1"/>
  <c r="R75" i="1"/>
  <c r="R31" i="1"/>
  <c r="R47" i="1"/>
  <c r="W9" i="1"/>
  <c r="R11" i="1"/>
  <c r="R60" i="1"/>
  <c r="S5" i="1"/>
  <c r="R10" i="1"/>
  <c r="R19" i="1"/>
  <c r="R27" i="1"/>
  <c r="R35" i="1"/>
  <c r="R43" i="1"/>
  <c r="S46" i="1"/>
  <c r="R51" i="1"/>
  <c r="R59" i="1"/>
  <c r="R67" i="1"/>
  <c r="R91" i="1"/>
  <c r="R7" i="1"/>
  <c r="R15" i="1"/>
  <c r="R24" i="1"/>
  <c r="R32" i="1"/>
  <c r="R40" i="1"/>
  <c r="R48" i="1"/>
  <c r="R56" i="1"/>
  <c r="S59" i="1"/>
  <c r="R64" i="1"/>
  <c r="R72" i="1"/>
  <c r="R80" i="1"/>
  <c r="R88" i="1"/>
  <c r="R39" i="1"/>
  <c r="S39" i="1"/>
  <c r="R44" i="1"/>
  <c r="R12" i="1"/>
  <c r="R21" i="1"/>
  <c r="R29" i="1"/>
  <c r="R37" i="1"/>
  <c r="S40" i="1"/>
  <c r="R45" i="1"/>
  <c r="S48" i="1"/>
  <c r="R53" i="1"/>
  <c r="S56" i="1"/>
  <c r="R61" i="1"/>
  <c r="S64" i="1"/>
  <c r="R69" i="1"/>
  <c r="S72" i="1"/>
  <c r="R77" i="1"/>
  <c r="S80" i="1"/>
  <c r="R85" i="1"/>
  <c r="R6" i="1"/>
  <c r="R23" i="1"/>
  <c r="R55" i="1"/>
  <c r="R87" i="1"/>
  <c r="R52" i="1"/>
  <c r="R68" i="1"/>
  <c r="R84" i="1"/>
  <c r="W7" i="1"/>
  <c r="R9" i="1"/>
  <c r="R18" i="1"/>
  <c r="S21" i="1"/>
  <c r="R26" i="1"/>
  <c r="R34" i="1"/>
  <c r="S37" i="1"/>
  <c r="R42" i="1"/>
  <c r="S45" i="1"/>
  <c r="R50" i="1"/>
  <c r="R58" i="1"/>
  <c r="R66" i="1"/>
  <c r="S69" i="1"/>
  <c r="R74" i="1"/>
  <c r="S77" i="1"/>
  <c r="R82" i="1"/>
  <c r="R90" i="1"/>
  <c r="R14" i="1"/>
  <c r="R71" i="1"/>
  <c r="R79" i="1"/>
  <c r="R20" i="1"/>
  <c r="R28" i="1"/>
  <c r="R36" i="1"/>
  <c r="R76" i="1"/>
  <c r="R92" i="1"/>
  <c r="R8" i="1"/>
  <c r="S11" i="1"/>
  <c r="R17" i="1"/>
  <c r="R25" i="1"/>
  <c r="R33" i="1"/>
  <c r="S36" i="1"/>
  <c r="R41" i="1"/>
  <c r="R49" i="1"/>
  <c r="R57" i="1"/>
  <c r="R65" i="1"/>
  <c r="R73" i="1"/>
  <c r="R81" i="1"/>
  <c r="R89" i="1"/>
  <c r="R83" i="1"/>
  <c r="S58" i="1"/>
  <c r="R63" i="1"/>
  <c r="S55" i="1"/>
  <c r="S63" i="1" l="1"/>
  <c r="S49" i="1"/>
  <c r="S41" i="1"/>
  <c r="S33" i="1"/>
  <c r="S25" i="1"/>
  <c r="S8" i="1"/>
  <c r="S28" i="1"/>
  <c r="S79" i="1"/>
  <c r="S71" i="1"/>
  <c r="S50" i="1"/>
  <c r="S42" i="1"/>
  <c r="S34" i="1"/>
  <c r="S26" i="1"/>
  <c r="S9" i="1"/>
  <c r="S52" i="1"/>
  <c r="S23" i="1"/>
  <c r="S6" i="1"/>
  <c r="S53" i="1"/>
  <c r="S29" i="1"/>
  <c r="S12" i="1"/>
  <c r="S44" i="1"/>
  <c r="S32" i="1"/>
  <c r="S24" i="1"/>
  <c r="S7" i="1"/>
  <c r="S51" i="1"/>
  <c r="S43" i="1"/>
  <c r="S35" i="1"/>
  <c r="S27" i="1"/>
  <c r="S10" i="1"/>
  <c r="S60" i="1"/>
  <c r="S31" i="1"/>
  <c r="S78" i="1"/>
  <c r="S70" i="1"/>
  <c r="S54" i="1"/>
  <c r="S38" i="1"/>
  <c r="S30" i="1"/>
  <c r="S22" i="1"/>
  <c r="D18" i="29"/>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D1" i="1"/>
  <c r="AB1" i="1"/>
  <c r="AB2"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<sst xmlns="http://schemas.openxmlformats.org/spreadsheetml/2006/main" count="1592" uniqueCount="1193">
  <si>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</si>
  <si>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</si>
  <si>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</si>
  <si>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</si>
  <si>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</si>
  <si>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</si>
  <si>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</si>
  <si>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</si>
  <si>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</si>
  <si>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</si>
  <si>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</si>
  <si>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</si>
  <si>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</si>
  <si>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</si>
  <si>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</si>
  <si>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</si>
  <si>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</si>
  <si>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</si>
  <si>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</si>
  <si>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</si>
  <si>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</si>
  <si>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</si>
  <si>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</si>
  <si>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</si>
  <si>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</si>
  <si>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</si>
  <si>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</si>
  <si>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</si>
  <si>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</si>
  <si>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</si>
  <si>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</si>
  <si>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</si>
  <si>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</si>
  <si>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</si>
  <si>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</si>
  <si>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</si>
  <si>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</si>
  <si>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</si>
  <si>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</si>
  <si>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</si>
  <si>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</si>
  <si>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</si>
  <si>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</si>
  <si>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</si>
  <si>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</si>
  <si>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</si>
  <si>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</si>
  <si>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</si>
  <si>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</si>
  <si>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</si>
  <si>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</si>
  <si>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</si>
  <si>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</si>
  <si>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</si>
  <si>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</si>
  <si>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</si>
  <si>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</si>
  <si>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</si>
  <si>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</si>
  <si>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</si>
  <si>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</si>
  <si>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</si>
  <si>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</si>
  <si>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</si>
  <si>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</si>
  <si>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</si>
  <si>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</si>
  <si>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</si>
  <si>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</si>
  <si>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</si>
  <si>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</si>
  <si>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</si>
  <si>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</si>
  <si>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</si>
  <si>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</si>
  <si>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</si>
  <si>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</si>
  <si>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</si>
  <si>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</si>
  <si>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</si>
  <si>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</si>
  <si>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</si>
  <si>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</si>
  <si>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</si>
  <si>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</si>
  <si>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</si>
  <si>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</si>
  <si>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</si>
  <si>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</si>
  <si>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</si>
  <si>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</si>
  <si>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</si>
  <si>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</si>
  <si>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</si>
  <si>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</si>
  <si>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</si>
  <si>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</si>
  <si>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</si>
  <si>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</si>
  <si>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</si>
  <si>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</si>
  <si>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</si>
  <si>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</si>
  <si>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</si>
  <si>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</si>
  <si>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</si>
  <si>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</si>
  <si>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</si>
  <si>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</si>
  <si>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</si>
  <si>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</si>
  <si>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</si>
  <si>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</si>
  <si>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</si>
  <si>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</si>
  <si>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</si>
  <si>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</si>
  <si>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</si>
  <si>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</si>
  <si>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</si>
  <si>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</si>
  <si>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</si>
  <si>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</si>
  <si>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</si>
  <si>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</si>
  <si>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</si>
  <si>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</si>
  <si>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</si>
  <si>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</si>
  <si>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</si>
  <si>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</si>
  <si>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</si>
  <si>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</si>
  <si>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</si>
  <si>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</si>
  <si>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</si>
  <si>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</si>
  <si>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</si>
  <si>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</si>
  <si>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</si>
  <si>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</si>
  <si>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</si>
  <si>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</si>
  <si>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</si>
  <si>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</si>
  <si>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</si>
  <si>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</si>
  <si>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</si>
  <si>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</si>
  <si>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</si>
  <si>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</si>
  <si>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</si>
  <si>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</si>
  <si>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</si>
  <si>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</si>
  <si>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</si>
  <si>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</si>
  <si>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</si>
  <si>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</si>
  <si>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</si>
  <si>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</si>
  <si>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</si>
  <si>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</si>
  <si>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</si>
  <si>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</si>
  <si>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</si>
  <si>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</si>
  <si>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</si>
  <si>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</si>
  <si>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</si>
  <si>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</si>
  <si>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</si>
  <si>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</si>
  <si>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</si>
  <si>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</si>
  <si>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</si>
  <si>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</si>
  <si>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</si>
  <si>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</si>
  <si>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</si>
  <si>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</si>
  <si>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</si>
  <si>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</si>
  <si>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</si>
  <si>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</si>
  <si>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</si>
  <si>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</si>
  <si>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</si>
  <si>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</si>
  <si>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</si>
  <si>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</si>
  <si>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</si>
  <si>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</si>
  <si>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</si>
  <si>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</si>
  <si>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</si>
  <si>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</si>
  <si>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</si>
  <si>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</si>
  <si>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</si>
  <si>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</si>
  <si>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</si>
  <si>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</si>
  <si>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</si>
  <si>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</si>
  <si>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</si>
  <si>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</si>
  <si>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</si>
  <si>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</si>
  <si>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</si>
  <si>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</si>
  <si>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</si>
  <si>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</si>
  <si>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</si>
  <si>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</si>
  <si>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</si>
  <si>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</si>
  <si>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</si>
  <si>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</si>
  <si>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</si>
  <si>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</si>
  <si>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</si>
  <si>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</si>
  <si>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</si>
  <si>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</si>
  <si>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</si>
  <si>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</si>
  <si>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</si>
  <si>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</si>
  <si>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</si>
  <si>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</si>
  <si>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</si>
  <si>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</si>
  <si>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</si>
  <si>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</si>
  <si>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</si>
  <si>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</si>
  <si>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</si>
  <si>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</si>
  <si>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</si>
  <si>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</si>
  <si>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</si>
  <si>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</si>
  <si>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</si>
  <si>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</si>
  <si>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</si>
  <si>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</si>
  <si>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</si>
  <si>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</si>
  <si>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</si>
  <si>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</si>
  <si>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</si>
  <si>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</si>
  <si>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</si>
  <si>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</si>
  <si>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</si>
  <si>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</si>
  <si>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</si>
  <si>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</si>
  <si>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</si>
  <si>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</si>
  <si>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</si>
  <si>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</si>
  <si>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</si>
  <si>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</si>
  <si>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</si>
  <si>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</si>
  <si>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</si>
  <si>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</si>
  <si>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</si>
  <si>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</si>
  <si>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</si>
  <si>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</si>
  <si>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</si>
  <si>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</si>
  <si>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</si>
  <si>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</si>
  <si>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</si>
  <si>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</si>
  <si>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</si>
  <si>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</si>
  <si>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</si>
  <si>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</si>
  <si>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</si>
  <si>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</si>
  <si>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</si>
  <si>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</si>
  <si>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</si>
  <si>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</si>
  <si>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</si>
  <si>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</si>
  <si>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</si>
  <si>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</si>
  <si>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</si>
  <si>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</si>
  <si>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</si>
  <si>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</si>
  <si>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</si>
  <si>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</si>
  <si>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</si>
  <si>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</si>
  <si>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</si>
  <si>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</si>
  <si>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</si>
  <si>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</si>
  <si>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</si>
  <si>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</si>
  <si>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</si>
  <si>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</si>
  <si>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</si>
  <si>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</si>
  <si>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</si>
  <si>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</si>
  <si>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</si>
  <si>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</si>
  <si>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</si>
  <si>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</si>
  <si>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</si>
  <si>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</si>
  <si>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</si>
  <si>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</si>
  <si>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</si>
  <si>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</si>
  <si>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</si>
  <si>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</si>
  <si>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</si>
  <si>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</si>
  <si>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</si>
  <si>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</si>
  <si>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</si>
  <si>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</si>
  <si>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</si>
  <si>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</si>
  <si>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</si>
  <si>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</si>
  <si>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</si>
  <si>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</si>
  <si>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</si>
  <si>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</si>
  <si>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</si>
  <si>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</si>
  <si>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</si>
  <si>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</si>
  <si>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</si>
  <si>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</si>
  <si>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</si>
  <si>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</si>
  <si>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</si>
  <si>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</si>
  <si>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</si>
  <si>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</si>
  <si>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</si>
  <si>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</si>
  <si>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</si>
  <si>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</si>
  <si>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</si>
  <si>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</si>
  <si>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</si>
  <si>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</si>
  <si>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</si>
  <si>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</si>
  <si>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</si>
  <si>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</si>
  <si>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</si>
  <si>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</si>
  <si>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</si>
  <si>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</si>
  <si>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</si>
  <si>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</si>
  <si>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</si>
  <si>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</si>
  <si>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</si>
  <si>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</si>
  <si>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</si>
  <si>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</si>
  <si>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</si>
  <si>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</si>
  <si>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</si>
  <si>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</si>
  <si>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</si>
  <si>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</si>
  <si>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</si>
  <si>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</si>
  <si>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</si>
  <si>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</si>
  <si>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</si>
  <si>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</si>
  <si>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</si>
  <si>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</si>
  <si>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</si>
  <si>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</si>
  <si>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</si>
  <si>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</si>
  <si>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</si>
  <si>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</si>
  <si>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</si>
  <si>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</si>
  <si>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</si>
  <si>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</si>
  <si>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</si>
  <si>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</si>
  <si>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</si>
  <si>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</si>
  <si>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</si>
  <si>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</si>
  <si>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</si>
  <si>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</si>
  <si>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</si>
  <si>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</si>
  <si>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</si>
  <si>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</si>
  <si>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</si>
  <si>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</si>
  <si>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</si>
  <si>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</si>
  <si>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</si>
  <si>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</si>
  <si>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</si>
  <si>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</si>
  <si>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</si>
  <si>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</si>
  <si>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</si>
  <si>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</si>
  <si>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</si>
  <si>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</si>
  <si>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</si>
  <si>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</si>
  <si>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</si>
  <si>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</si>
  <si>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</si>
  <si>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</si>
  <si>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</si>
  <si>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</si>
  <si>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</si>
  <si>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</si>
  <si>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</si>
  <si>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</si>
  <si>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</si>
  <si>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</si>
  <si>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</si>
  <si>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</si>
  <si>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</si>
  <si>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</si>
  <si>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</si>
  <si>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</si>
  <si>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</si>
  <si>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</si>
  <si>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</si>
  <si>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</si>
  <si>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</si>
  <si>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</si>
  <si>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</si>
  <si>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</si>
  <si>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</si>
  <si>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</si>
  <si>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</si>
  <si>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</si>
  <si>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</si>
  <si>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</si>
  <si>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</si>
  <si>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</si>
  <si>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</si>
  <si>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</si>
  <si>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</si>
  <si>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</si>
  <si>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</si>
  <si>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</si>
  <si>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</si>
  <si>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</si>
  <si>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</si>
  <si>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</si>
  <si>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</si>
  <si>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</si>
  <si>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</si>
  <si>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</si>
  <si>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</si>
  <si>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</si>
  <si>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</si>
  <si>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</si>
  <si>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</si>
  <si>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</si>
  <si>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</si>
  <si>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</si>
  <si>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</si>
  <si>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</si>
  <si>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</si>
  <si>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</si>
  <si>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</si>
  <si>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</si>
  <si>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</si>
  <si>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</si>
  <si>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</si>
  <si>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</si>
  <si>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</si>
  <si>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</si>
  <si>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</si>
  <si>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</si>
  <si>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</si>
  <si>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</si>
  <si>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</si>
  <si>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</si>
  <si>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</si>
  <si>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</si>
  <si>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</si>
  <si>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</si>
  <si>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</si>
  <si>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</si>
  <si>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</si>
  <si>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</si>
  <si>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</si>
  <si>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</si>
  <si>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</si>
  <si>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</si>
  <si>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</si>
  <si>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</si>
  <si>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</si>
  <si>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</si>
  <si>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</si>
  <si>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</si>
  <si>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</si>
  <si>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</si>
  <si>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</si>
  <si>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</si>
  <si>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</si>
  <si>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</si>
  <si>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</si>
  <si>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</si>
  <si>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</si>
  <si>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</si>
  <si>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</si>
  <si>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</si>
  <si>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</si>
  <si>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</si>
  <si>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</si>
  <si>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</si>
  <si>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</si>
  <si>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</si>
  <si>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</si>
  <si>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</si>
  <si>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</si>
  <si>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</si>
  <si>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</si>
  <si>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</si>
  <si>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</si>
  <si>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</si>
  <si>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</si>
  <si>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</si>
  <si>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</si>
  <si>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</si>
  <si>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</si>
  <si>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</si>
  <si>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</si>
  <si>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</si>
  <si>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</si>
  <si>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</si>
  <si>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</si>
  <si>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</si>
  <si>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</si>
  <si>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</si>
  <si>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</si>
  <si>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</si>
  <si>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</si>
  <si>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</si>
  <si>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</si>
  <si>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</si>
  <si>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</si>
  <si>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</si>
  <si>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</si>
  <si>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</si>
  <si>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</si>
  <si>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</si>
  <si>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</si>
  <si>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</si>
  <si>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</si>
  <si>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</si>
  <si>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</si>
  <si>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</si>
  <si>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</si>
  <si>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</si>
  <si>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</si>
  <si>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</si>
  <si>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</si>
  <si>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</si>
  <si>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</si>
  <si>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</si>
  <si>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</si>
  <si>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</si>
  <si>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</si>
  <si>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</si>
  <si>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</si>
  <si>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</si>
  <si>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</si>
  <si>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</si>
  <si>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</si>
  <si>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</si>
  <si>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</si>
  <si>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</si>
  <si>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</si>
  <si>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</si>
  <si>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</si>
  <si>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</si>
  <si>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</si>
  <si>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</si>
  <si>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</si>
  <si>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</si>
  <si>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</si>
  <si>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</si>
  <si>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</si>
  <si>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</si>
  <si>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</si>
  <si>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</si>
  <si>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</si>
  <si>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</si>
  <si>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</si>
  <si>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</si>
  <si>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</si>
  <si>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</si>
  <si>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</si>
  <si>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</si>
  <si>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</si>
  <si>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</si>
  <si>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</si>
  <si>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</si>
  <si>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</si>
  <si>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</si>
  <si>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</si>
  <si>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</si>
  <si>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</si>
  <si>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</si>
  <si>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</si>
  <si>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</si>
  <si>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</si>
  <si>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</si>
  <si>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</si>
  <si>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</si>
  <si>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</si>
  <si>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</si>
  <si>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</si>
  <si>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</si>
  <si>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</si>
  <si>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</si>
  <si>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</si>
  <si>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</si>
  <si>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</si>
  <si>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</si>
  <si>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</si>
  <si>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</si>
  <si>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</si>
  <si>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</si>
  <si>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</si>
  <si>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</si>
  <si>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</si>
  <si>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</si>
  <si>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</si>
  <si>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</si>
  <si>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</si>
  <si>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</si>
  <si>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</si>
  <si>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</si>
  <si>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</si>
  <si>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</si>
  <si>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</si>
  <si>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</si>
  <si>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</si>
  <si>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</si>
  <si>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</si>
  <si>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</si>
  <si>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</si>
  <si>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</si>
  <si>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</si>
  <si>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</si>
  <si>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</si>
  <si>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</si>
  <si>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</si>
  <si>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</si>
  <si>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</si>
  <si>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</si>
  <si>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</si>
  <si>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</si>
  <si>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</si>
  <si>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</si>
  <si>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</si>
  <si>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</si>
  <si>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</si>
  <si>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</si>
  <si>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</si>
  <si>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</si>
  <si>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</si>
  <si>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</si>
  <si>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</si>
  <si>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</si>
  <si>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</si>
  <si>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</si>
  <si>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</si>
  <si>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</si>
  <si>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</si>
  <si>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</si>
  <si>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</si>
  <si>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</si>
  <si>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</si>
  <si>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</si>
  <si>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</si>
  <si>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</si>
  <si>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</si>
  <si>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</si>
  <si>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</si>
  <si>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</si>
  <si>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</si>
  <si>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</si>
  <si>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</si>
  <si>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</si>
  <si>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</si>
  <si>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</si>
  <si>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</si>
  <si>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</si>
  <si>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</si>
  <si>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</si>
  <si>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</si>
  <si>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</si>
  <si>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</si>
  <si>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</si>
  <si>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</si>
  <si>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</si>
  <si>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</si>
  <si>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</si>
  <si>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</si>
  <si>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</si>
  <si>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</si>
  <si>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</si>
  <si>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</si>
  <si>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</si>
  <si>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</si>
  <si>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</si>
  <si>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</si>
  <si>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</si>
  <si>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</si>
  <si>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</si>
  <si>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</si>
  <si>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</si>
  <si>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</si>
  <si>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</si>
  <si>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</si>
  <si>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</si>
  <si>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</si>
  <si>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</si>
  <si>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</si>
  <si>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</si>
  <si>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</si>
  <si>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</si>
  <si>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</si>
  <si>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</si>
  <si>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</si>
  <si>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</si>
  <si>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</si>
  <si>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</si>
  <si>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</si>
  <si>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</si>
  <si>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</si>
  <si>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</si>
  <si>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</si>
  <si>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</si>
  <si>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</si>
  <si>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</si>
  <si>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</si>
  <si>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</si>
  <si>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</si>
  <si>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</si>
  <si>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</si>
  <si>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</si>
  <si>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</si>
  <si>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</si>
  <si>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</si>
  <si>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</si>
  <si>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</si>
  <si>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</si>
  <si>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</si>
  <si>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</si>
  <si>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</si>
  <si>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</si>
  <si>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</si>
  <si>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</si>
  <si>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</si>
  <si>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</si>
  <si>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</si>
  <si>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</si>
  <si>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</si>
  <si>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</si>
  <si>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</si>
  <si>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</si>
  <si>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</si>
  <si>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</si>
  <si>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</si>
  <si>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</si>
  <si>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</si>
  <si>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</si>
  <si>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</si>
  <si>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</si>
  <si>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</si>
  <si>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</si>
  <si>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</si>
  <si>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</si>
  <si>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</si>
  <si>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</si>
  <si>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</si>
  <si>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</si>
  <si>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</si>
  <si>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</si>
  <si>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</si>
  <si>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</si>
  <si>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</si>
  <si>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</si>
  <si>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</si>
  <si>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</si>
  <si>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</si>
  <si>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</si>
  <si>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</si>
  <si>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</si>
  <si>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</si>
  <si>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</si>
  <si>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</si>
  <si>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</si>
  <si>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</si>
  <si>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</si>
  <si>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</si>
  <si>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</si>
  <si>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</si>
  <si>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</si>
  <si>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</si>
  <si>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</si>
  <si>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</si>
  <si>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</si>
  <si>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</si>
  <si>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</si>
  <si>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</si>
  <si>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</si>
  <si>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</si>
  <si>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</si>
  <si>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</si>
  <si>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</si>
  <si>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</si>
  <si>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</si>
  <si>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</si>
  <si>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</si>
  <si>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</si>
  <si>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</si>
  <si>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</si>
  <si>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</si>
  <si>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</si>
  <si>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</si>
  <si>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</si>
  <si>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</si>
  <si>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</si>
  <si>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</si>
  <si>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</si>
  <si>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</si>
  <si>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</si>
  <si>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</si>
  <si>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</si>
  <si>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</si>
  <si>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</si>
  <si>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</si>
  <si>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</si>
  <si>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</si>
  <si>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</si>
  <si>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</si>
  <si>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</si>
  <si>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</si>
  <si>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</si>
  <si>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</si>
  <si>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</si>
  <si>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</si>
  <si>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</si>
  <si>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</si>
  <si>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</si>
  <si>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</si>
  <si>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</si>
  <si>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</si>
  <si>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</si>
  <si>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</si>
  <si>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</si>
  <si>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</si>
  <si>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</si>
  <si>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</si>
  <si>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</si>
  <si>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</si>
  <si>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</si>
  <si>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</si>
  <si>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</si>
  <si>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</si>
  <si>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</si>
  <si>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</si>
  <si>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</si>
  <si>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</si>
  <si>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</si>
  <si>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</si>
  <si>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</si>
  <si>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</si>
  <si>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</si>
  <si>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</si>
  <si>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</si>
  <si>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</si>
  <si>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</si>
  <si>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</si>
  <si>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</si>
  <si>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</si>
  <si>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</si>
  <si>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</si>
  <si>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</si>
  <si>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</si>
  <si>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</si>
  <si>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</si>
  <si>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</si>
  <si>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</si>
  <si>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</si>
  <si>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</si>
  <si>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</si>
  <si>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</si>
  <si>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</si>
  <si>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</si>
  <si>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</si>
  <si>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</si>
  <si>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</si>
  <si>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</si>
  <si>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</si>
  <si>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</si>
  <si>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</si>
  <si>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</si>
  <si>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</si>
  <si>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</si>
  <si>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</si>
  <si>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</si>
  <si>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</si>
  <si>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</si>
  <si>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</si>
  <si>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</si>
  <si>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</si>
  <si>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</si>
  <si>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</si>
  <si>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</si>
  <si>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</si>
  <si>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</si>
  <si>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</si>
  <si>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</si>
  <si>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</si>
  <si>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</si>
  <si>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</si>
  <si>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</si>
  <si>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</si>
  <si>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</si>
  <si>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</si>
  <si>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</si>
  <si>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</si>
  <si>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</si>
  <si>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</si>
  <si>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</si>
  <si>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</si>
  <si>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</si>
  <si>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</si>
  <si>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</si>
  <si>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</si>
  <si>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</si>
  <si>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</si>
  <si>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</si>
  <si>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</si>
  <si>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</si>
  <si>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</si>
  <si>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</si>
  <si>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</si>
  <si>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</si>
  <si>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</si>
  <si>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</si>
  <si>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</si>
  <si>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</si>
  <si>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</si>
  <si>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</si>
  <si>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</si>
  <si>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</si>
  <si>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</si>
  <si>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</si>
  <si>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</si>
  <si>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</si>
  <si>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</si>
  <si>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</si>
  <si>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</si>
  <si>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</si>
  <si>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</si>
  <si>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</si>
  <si>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</si>
  <si>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</si>
  <si>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</si>
  <si>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</si>
  <si>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</si>
  <si>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</si>
  <si>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</si>
  <si>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</si>
  <si>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</si>
  <si>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</si>
  <si>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</si>
  <si>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</si>
  <si>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</si>
  <si>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</si>
  <si>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</si>
  <si>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</si>
  <si>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</si>
  <si>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</si>
  <si>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</si>
  <si>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</si>
  <si>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</si>
  <si>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</si>
  <si>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</si>
  <si>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</si>
  <si>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</si>
  <si>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</si>
  <si>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</si>
  <si>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</si>
  <si>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</si>
  <si>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</si>
  <si>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</si>
  <si>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</si>
  <si>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</si>
  <si>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</si>
  <si>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</si>
  <si>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</si>
  <si>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</si>
  <si>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</si>
  <si>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</si>
  <si>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</si>
  <si>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</si>
  <si>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</si>
  <si>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</si>
  <si>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</si>
  <si>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</si>
  <si>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</si>
  <si>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</si>
  <si>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</si>
  <si>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</si>
  <si>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</si>
  <si>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</si>
  <si>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</si>
  <si>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</si>
  <si>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</si>
  <si>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</si>
  <si>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</si>
  <si>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</si>
  <si>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</si>
  <si>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</si>
  <si>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</si>
  <si>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</si>
  <si>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</si>
  <si>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</si>
  <si>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</si>
  <si>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</si>
  <si>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</si>
  <si>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</si>
  <si>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</si>
  <si>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</si>
  <si>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</si>
  <si>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</si>
  <si>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</si>
  <si>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</si>
  <si>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</si>
  <si>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</si>
  <si>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</si>
  <si>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</si>
  <si>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</si>
  <si>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</si>
  <si>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</si>
  <si>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</si>
  <si>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</si>
  <si>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</si>
  <si>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</si>
  <si>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</si>
  <si>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</si>
  <si>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</si>
  <si>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</si>
  <si>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</si>
  <si>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</si>
  <si>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</si>
  <si>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</si>
  <si>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</si>
  <si>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</si>
  <si>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</si>
  <si>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</si>
  <si>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</si>
  <si>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</si>
  <si>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</si>
  <si>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</si>
  <si>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</si>
  <si>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</si>
  <si>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</si>
  <si>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</si>
  <si>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</si>
  <si>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</si>
  <si>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</si>
  <si>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</si>
  <si>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</si>
  <si>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</si>
  <si>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</si>
  <si>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</si>
  <si>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</si>
  <si>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</si>
  <si>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</si>
  <si>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</si>
  <si>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</si>
  <si>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</si>
  <si>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</si>
  <si>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</si>
  <si>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</si>
  <si>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</si>
  <si>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</si>
  <si>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</si>
  <si>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</si>
  <si>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</si>
  <si>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</si>
  <si>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</si>
  <si>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</si>
  <si>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</si>
  <si>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</si>
  <si>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</si>
  <si>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</si>
  <si>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</si>
  <si>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</si>
  <si>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</si>
  <si>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</si>
  <si>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</si>
  <si>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</si>
  <si>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</si>
  <si>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</si>
  <si>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</si>
  <si>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</si>
  <si>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</si>
  <si>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</si>
  <si>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</si>
  <si>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</si>
  <si>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</si>
  <si>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</si>
  <si>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</si>
  <si>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</si>
  <si>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</si>
  <si>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</si>
  <si>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</si>
  <si>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</si>
  <si>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</si>
  <si>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</si>
  <si>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</si>
  <si>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</si>
  <si>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</si>
  <si>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</si>
  <si>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</si>
  <si>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</si>
  <si>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</si>
  <si>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</si>
  <si>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</si>
  <si>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</si>
  <si>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</si>
  <si>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</si>
  <si>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</si>
  <si>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리모컨 기능</t>
  </si>
  <si>
    <t>디퓨저 알람</t>
  </si>
  <si>
    <t>2.2.1.4</t>
  </si>
  <si>
    <t>서버 환경 구축</t>
  </si>
  <si>
    <t>신현빈,서보민</t>
  </si>
  <si>
    <t>2.3.1.2.5</t>
  </si>
  <si>
    <t>2.3.1.2.5.1</t>
  </si>
  <si>
    <t>2.3.1.2.5.2</t>
  </si>
  <si>
    <t>2.3.1.2.5.3</t>
  </si>
  <si>
    <t>2.3.1.2.5.4</t>
  </si>
  <si>
    <t>2.3.1.2.5.5</t>
  </si>
  <si>
    <t>서보민, 금상원,신현빈</t>
  </si>
  <si>
    <t>웹 서버 구축</t>
  </si>
  <si>
    <t>메인페이지</t>
  </si>
  <si>
    <t>제품소개</t>
  </si>
  <si>
    <t>MQTT 서버 구축</t>
  </si>
  <si>
    <t>웹·MQTT 서버 설정</t>
  </si>
  <si>
    <t>서버-rds(MySQL) 연동</t>
  </si>
  <si>
    <t>서버-Storage S3 연동</t>
  </si>
  <si>
    <t>2.3.1.2.3.1.1</t>
  </si>
  <si>
    <t>2.3.1.2.3.1.2</t>
  </si>
  <si>
    <t>2.3.1.2.3.1.3</t>
  </si>
  <si>
    <t>2.3.1.2.3.1.4</t>
  </si>
  <si>
    <t>2.3.1.2.3.1.5</t>
  </si>
  <si>
    <t>2.3.1.2.3.1.6</t>
  </si>
  <si>
    <t>2.3.1.2.3.1.7</t>
  </si>
  <si>
    <t>2.3.1.2.3.1.8</t>
  </si>
  <si>
    <t>2.3.1.2.3.1.9</t>
  </si>
  <si>
    <t>2.3.1.2.3.1.10</t>
  </si>
  <si>
    <t>2.3.1.2.3.1.11</t>
  </si>
  <si>
    <t>자료조사</t>
  </si>
  <si>
    <t>2.3.1.2.1.7</t>
  </si>
  <si>
    <t>감정분석</t>
  </si>
  <si>
    <t>모바일 어플리케이션</t>
  </si>
  <si>
    <t>디퓨저정보 제공</t>
  </si>
  <si>
    <t>리필용액 판매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</si>
</sst>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2">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
      <sz val="9"/>
      <name val="맑은 고딕"/>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right style="thin">
        <color theme="0"/>
      </right>
      <top style="thin">
        <color theme="0"/>
      </top>
      <bottom style="thin">
        <color theme="0"/>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3">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8" xfId="0" applyNumberFormat="1" applyFont="1" applyFill="1" applyBorder="1" applyAlignment="1">
      <alignment horizontal="center"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1" xfId="0" applyNumberFormat="1" applyFont="1" applyBorder="1"/>
    <xf numFmtId="0" fontId="25" fillId="0" borderId="31"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7" xfId="0" applyFont="1" applyBorder="1" applyAlignment="1" applyProtection="1">
      <alignment horizontal="lef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1" xfId="1" applyNumberFormat="1" applyFont="1" applyBorder="1" applyAlignment="1"/>
    <xf numFmtId="0" fontId="41" fillId="0" borderId="14" xfId="0" applyFont="1" applyBorder="1" applyAlignment="1" applyProtection="1">
      <alignment horizontal="left" vertical="top"/>
      <protection locked="0"/>
    </xf>
    <xf numFmtId="0" fontId="9" fillId="0" borderId="32" xfId="0" applyFont="1" applyBorder="1" applyAlignment="1" applyProtection="1">
      <alignment horizontal="right" vertical="center"/>
      <protection locked="0"/>
    </xf>
    <xf numFmtId="0" fontId="39" fillId="0" borderId="14" xfId="0" applyFont="1" applyBorder="1" applyAlignment="1" applyProtection="1">
      <alignment horizontal="left" vertical="top"/>
      <protection locked="0"/>
    </xf>
    <xf numFmtId="0" fontId="9" fillId="0" borderId="14" xfId="0" applyFont="1" applyBorder="1" applyAlignment="1" applyProtection="1">
      <alignment horizontal="left" vertical="top"/>
      <protection locked="0"/>
    </xf>
    <xf numFmtId="0" fontId="36" fillId="2" borderId="0" xfId="4" applyFont="1" applyFill="1" applyAlignment="1">
      <alignment horizontal="left" vertical="center"/>
    </xf>
    <xf numFmtId="180" fontId="8" fillId="5" borderId="29" xfId="2" applyNumberFormat="1" applyFont="1" applyFill="1" applyBorder="1" applyAlignment="1">
      <alignment horizontal="center"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8"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80" fontId="8" fillId="5" borderId="30"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14">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
      <tableStyleElement type="headerRow" dxfId="12"/>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159</xdr:col>
      <xdr:colOff>0</xdr:colOff>
      <xdr:row>81</xdr:row>
      <xdr:rowOff>76200</xdr:rowOff>
    </xdr:from>
    <xdr:to>
      <xdr:col>161</xdr:col>
      <xdr:colOff>0</xdr:colOff>
      <xdr:row>81</xdr:row>
      <xdr:rowOff>76200</xdr:rowOff>
    </xdr:to>
    <xdr:cxnSp macro="">
      <xdr:nvCxnSpPr>
        <xdr:cNvPr id="211" name="직선 화살표 연결선 210">
          <a:extLst>
            <a:ext uri="{FF2B5EF4-FFF2-40B4-BE49-F238E27FC236}">
              <a16:creationId xmlns:a16="http://schemas.microsoft.com/office/drawing/2014/main" id="{F10F471C-4573-45F5-A6F5-E8DBA6644B90}"/>
            </a:ext>
          </a:extLst>
        </xdr:cNvPr>
        <xdr:cNvCxnSpPr/>
      </xdr:nvCxnSpPr>
      <xdr:spPr bwMode="auto">
        <a:xfrm>
          <a:off x="18421350" y="12553950"/>
          <a:ext cx="1143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155</xdr:col>
      <xdr:colOff>0</xdr:colOff>
      <xdr:row>80</xdr:row>
      <xdr:rowOff>76200</xdr:rowOff>
    </xdr:from>
    <xdr:to>
      <xdr:col>158</xdr:col>
      <xdr:colOff>0</xdr:colOff>
      <xdr:row>80</xdr:row>
      <xdr:rowOff>76200</xdr:rowOff>
    </xdr:to>
    <xdr:cxnSp macro="">
      <xdr:nvCxnSpPr>
        <xdr:cNvPr id="212" name="직선 화살표 연결선 211">
          <a:extLst>
            <a:ext uri="{FF2B5EF4-FFF2-40B4-BE49-F238E27FC236}">
              <a16:creationId xmlns:a16="http://schemas.microsoft.com/office/drawing/2014/main" id="{7DB0586D-89B0-47F9-9A51-4ADD2A164AEE}"/>
            </a:ext>
          </a:extLst>
        </xdr:cNvPr>
        <xdr:cNvCxnSpPr/>
      </xdr:nvCxnSpPr>
      <xdr:spPr bwMode="auto">
        <a:xfrm>
          <a:off x="18192750" y="12401550"/>
          <a:ext cx="1714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149</xdr:col>
      <xdr:colOff>0</xdr:colOff>
      <xdr:row>79</xdr:row>
      <xdr:rowOff>76200</xdr:rowOff>
    </xdr:from>
    <xdr:to>
      <xdr:col>219</xdr:col>
      <xdr:colOff>22861</xdr:colOff>
      <xdr:row>79</xdr:row>
      <xdr:rowOff>76200</xdr:rowOff>
    </xdr:to>
    <xdr:cxnSp macro="">
      <xdr:nvCxnSpPr>
        <xdr:cNvPr id="213" name="직선 화살표 연결선 212">
          <a:extLst>
            <a:ext uri="{FF2B5EF4-FFF2-40B4-BE49-F238E27FC236}">
              <a16:creationId xmlns:a16="http://schemas.microsoft.com/office/drawing/2014/main" id="{284BE28E-CD56-44E4-8158-0FE817479D59}"/>
            </a:ext>
          </a:extLst>
        </xdr:cNvPr>
        <xdr:cNvCxnSpPr/>
      </xdr:nvCxnSpPr>
      <xdr:spPr bwMode="auto">
        <a:xfrm>
          <a:off x="17849850" y="12249150"/>
          <a:ext cx="4023361"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153</xdr:col>
      <xdr:colOff>0</xdr:colOff>
      <xdr:row>78</xdr:row>
      <xdr:rowOff>76200</xdr:rowOff>
    </xdr:from>
    <xdr:to>
      <xdr:col>155</xdr:col>
      <xdr:colOff>0</xdr:colOff>
      <xdr:row>78</xdr:row>
      <xdr:rowOff>76200</xdr:rowOff>
    </xdr:to>
    <xdr:cxnSp macro="">
      <xdr:nvCxnSpPr>
        <xdr:cNvPr id="214" name="직선 화살표 연결선 213">
          <a:extLst>
            <a:ext uri="{FF2B5EF4-FFF2-40B4-BE49-F238E27FC236}">
              <a16:creationId xmlns:a16="http://schemas.microsoft.com/office/drawing/2014/main" id="{2ED15632-DD73-483E-B3B9-E87C4DCDB693}"/>
            </a:ext>
          </a:extLst>
        </xdr:cNvPr>
        <xdr:cNvCxnSpPr/>
      </xdr:nvCxnSpPr>
      <xdr:spPr bwMode="auto">
        <a:xfrm>
          <a:off x="18078450" y="12096750"/>
          <a:ext cx="1143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149</xdr:col>
      <xdr:colOff>0</xdr:colOff>
      <xdr:row>77</xdr:row>
      <xdr:rowOff>76200</xdr:rowOff>
    </xdr:from>
    <xdr:to>
      <xdr:col>153</xdr:col>
      <xdr:colOff>0</xdr:colOff>
      <xdr:row>77</xdr:row>
      <xdr:rowOff>76200</xdr:rowOff>
    </xdr:to>
    <xdr:cxnSp macro="">
      <xdr:nvCxnSpPr>
        <xdr:cNvPr id="215" name="직선 화살표 연결선 214">
          <a:extLst>
            <a:ext uri="{FF2B5EF4-FFF2-40B4-BE49-F238E27FC236}">
              <a16:creationId xmlns:a16="http://schemas.microsoft.com/office/drawing/2014/main" id="{D41F8434-47FC-4EC8-80D4-DA7831E3396A}"/>
            </a:ext>
          </a:extLst>
        </xdr:cNvPr>
        <xdr:cNvCxnSpPr/>
      </xdr:nvCxnSpPr>
      <xdr:spPr bwMode="auto">
        <a:xfrm>
          <a:off x="17849850" y="11944350"/>
          <a:ext cx="228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149</xdr:col>
      <xdr:colOff>0</xdr:colOff>
      <xdr:row>76</xdr:row>
      <xdr:rowOff>76200</xdr:rowOff>
    </xdr:from>
    <xdr:to>
      <xdr:col>219</xdr:col>
      <xdr:colOff>12999</xdr:colOff>
      <xdr:row>76</xdr:row>
      <xdr:rowOff>76200</xdr:rowOff>
    </xdr:to>
    <xdr:cxnSp macro="">
      <xdr:nvCxnSpPr>
        <xdr:cNvPr id="216" name="직선 화살표 연결선 215">
          <a:extLst>
            <a:ext uri="{FF2B5EF4-FFF2-40B4-BE49-F238E27FC236}">
              <a16:creationId xmlns:a16="http://schemas.microsoft.com/office/drawing/2014/main" id="{71C217A5-66D5-42B5-A2F8-37B1EF3A78DF}"/>
            </a:ext>
          </a:extLst>
        </xdr:cNvPr>
        <xdr:cNvCxnSpPr/>
      </xdr:nvCxnSpPr>
      <xdr:spPr bwMode="auto">
        <a:xfrm>
          <a:off x="17849850" y="11791950"/>
          <a:ext cx="401349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161</xdr:col>
      <xdr:colOff>0</xdr:colOff>
      <xdr:row>73</xdr:row>
      <xdr:rowOff>76200</xdr:rowOff>
    </xdr:from>
    <xdr:to>
      <xdr:col>163</xdr:col>
      <xdr:colOff>34289</xdr:colOff>
      <xdr:row>73</xdr:row>
      <xdr:rowOff>76200</xdr:rowOff>
    </xdr:to>
    <xdr:cxnSp macro="">
      <xdr:nvCxnSpPr>
        <xdr:cNvPr id="217" name="직선 화살표 연결선 216">
          <a:extLst>
            <a:ext uri="{FF2B5EF4-FFF2-40B4-BE49-F238E27FC236}">
              <a16:creationId xmlns:a16="http://schemas.microsoft.com/office/drawing/2014/main" id="{DA91514B-8F0D-4170-A791-F76629C5F65D}"/>
            </a:ext>
          </a:extLst>
        </xdr:cNvPr>
        <xdr:cNvCxnSpPr/>
      </xdr:nvCxnSpPr>
      <xdr:spPr bwMode="auto">
        <a:xfrm>
          <a:off x="18535650" y="11334750"/>
          <a:ext cx="14858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155</xdr:col>
      <xdr:colOff>0</xdr:colOff>
      <xdr:row>72</xdr:row>
      <xdr:rowOff>76200</xdr:rowOff>
    </xdr:from>
    <xdr:to>
      <xdr:col>157</xdr:col>
      <xdr:colOff>34289</xdr:colOff>
      <xdr:row>72</xdr:row>
      <xdr:rowOff>76200</xdr:rowOff>
    </xdr:to>
    <xdr:cxnSp macro="">
      <xdr:nvCxnSpPr>
        <xdr:cNvPr id="218" name="직선 화살표 연결선 217">
          <a:extLst>
            <a:ext uri="{FF2B5EF4-FFF2-40B4-BE49-F238E27FC236}">
              <a16:creationId xmlns:a16="http://schemas.microsoft.com/office/drawing/2014/main" id="{0AFE5BC9-E05D-4744-9017-66CF7E1955B7}"/>
            </a:ext>
          </a:extLst>
        </xdr:cNvPr>
        <xdr:cNvCxnSpPr/>
      </xdr:nvCxnSpPr>
      <xdr:spPr bwMode="auto">
        <a:xfrm>
          <a:off x="18192750" y="11182350"/>
          <a:ext cx="14858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138</xdr:col>
      <xdr:colOff>0</xdr:colOff>
      <xdr:row>70</xdr:row>
      <xdr:rowOff>76200</xdr:rowOff>
    </xdr:from>
    <xdr:to>
      <xdr:col>153</xdr:col>
      <xdr:colOff>17145</xdr:colOff>
      <xdr:row>70</xdr:row>
      <xdr:rowOff>76200</xdr:rowOff>
    </xdr:to>
    <xdr:cxnSp macro="">
      <xdr:nvCxnSpPr>
        <xdr:cNvPr id="219" name="직선 화살표 연결선 218">
          <a:extLst>
            <a:ext uri="{FF2B5EF4-FFF2-40B4-BE49-F238E27FC236}">
              <a16:creationId xmlns:a16="http://schemas.microsoft.com/office/drawing/2014/main" id="{FA8F4598-E2C3-46CF-9487-48D1AF95EF3F}"/>
            </a:ext>
          </a:extLst>
        </xdr:cNvPr>
        <xdr:cNvCxnSpPr/>
      </xdr:nvCxnSpPr>
      <xdr:spPr bwMode="auto">
        <a:xfrm>
          <a:off x="17221200" y="10877550"/>
          <a:ext cx="874395"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142</xdr:col>
      <xdr:colOff>0</xdr:colOff>
      <xdr:row>69</xdr:row>
      <xdr:rowOff>76200</xdr:rowOff>
    </xdr:from>
    <xdr:to>
      <xdr:col>153</xdr:col>
      <xdr:colOff>0</xdr:colOff>
      <xdr:row>69</xdr:row>
      <xdr:rowOff>76200</xdr:rowOff>
    </xdr:to>
    <xdr:cxnSp macro="">
      <xdr:nvCxnSpPr>
        <xdr:cNvPr id="220" name="직선 화살표 연결선 219">
          <a:extLst>
            <a:ext uri="{FF2B5EF4-FFF2-40B4-BE49-F238E27FC236}">
              <a16:creationId xmlns:a16="http://schemas.microsoft.com/office/drawing/2014/main" id="{9F93C6DA-0600-4199-804B-C7C29CB30AFB}"/>
            </a:ext>
          </a:extLst>
        </xdr:cNvPr>
        <xdr:cNvCxnSpPr/>
      </xdr:nvCxnSpPr>
      <xdr:spPr bwMode="auto">
        <a:xfrm>
          <a:off x="17449800" y="10725150"/>
          <a:ext cx="6286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138</xdr:col>
      <xdr:colOff>0</xdr:colOff>
      <xdr:row>68</xdr:row>
      <xdr:rowOff>76200</xdr:rowOff>
    </xdr:from>
    <xdr:to>
      <xdr:col>154</xdr:col>
      <xdr:colOff>48963</xdr:colOff>
      <xdr:row>68</xdr:row>
      <xdr:rowOff>76200</xdr:rowOff>
    </xdr:to>
    <xdr:cxnSp macro="">
      <xdr:nvCxnSpPr>
        <xdr:cNvPr id="221" name="직선 화살표 연결선 220">
          <a:extLst>
            <a:ext uri="{FF2B5EF4-FFF2-40B4-BE49-F238E27FC236}">
              <a16:creationId xmlns:a16="http://schemas.microsoft.com/office/drawing/2014/main" id="{357C9C5E-D05E-4673-A65E-58E47A90B9A4}"/>
            </a:ext>
          </a:extLst>
        </xdr:cNvPr>
        <xdr:cNvCxnSpPr/>
      </xdr:nvCxnSpPr>
      <xdr:spPr bwMode="auto">
        <a:xfrm>
          <a:off x="17221200" y="10572750"/>
          <a:ext cx="963363"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138</xdr:col>
      <xdr:colOff>0</xdr:colOff>
      <xdr:row>62</xdr:row>
      <xdr:rowOff>76200</xdr:rowOff>
    </xdr:from>
    <xdr:to>
      <xdr:col>147</xdr:col>
      <xdr:colOff>45720</xdr:colOff>
      <xdr:row>62</xdr:row>
      <xdr:rowOff>76200</xdr:rowOff>
    </xdr:to>
    <xdr:cxnSp macro="">
      <xdr:nvCxnSpPr>
        <xdr:cNvPr id="222" name="직선 화살표 연결선 221">
          <a:extLst>
            <a:ext uri="{FF2B5EF4-FFF2-40B4-BE49-F238E27FC236}">
              <a16:creationId xmlns:a16="http://schemas.microsoft.com/office/drawing/2014/main" id="{738404D9-F6AB-46DE-8FA1-8C14F2CF04F9}"/>
            </a:ext>
          </a:extLst>
        </xdr:cNvPr>
        <xdr:cNvCxnSpPr/>
      </xdr:nvCxnSpPr>
      <xdr:spPr bwMode="auto">
        <a:xfrm>
          <a:off x="17221200" y="9658350"/>
          <a:ext cx="56007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158</xdr:col>
      <xdr:colOff>0</xdr:colOff>
      <xdr:row>61</xdr:row>
      <xdr:rowOff>76200</xdr:rowOff>
    </xdr:from>
    <xdr:to>
      <xdr:col>165</xdr:col>
      <xdr:colOff>0</xdr:colOff>
      <xdr:row>61</xdr:row>
      <xdr:rowOff>76200</xdr:rowOff>
    </xdr:to>
    <xdr:cxnSp macro="">
      <xdr:nvCxnSpPr>
        <xdr:cNvPr id="223" name="직선 화살표 연결선 222">
          <a:extLst>
            <a:ext uri="{FF2B5EF4-FFF2-40B4-BE49-F238E27FC236}">
              <a16:creationId xmlns:a16="http://schemas.microsoft.com/office/drawing/2014/main" id="{942E400B-6C36-4A84-A8B4-7756BC0568EF}"/>
            </a:ext>
          </a:extLst>
        </xdr:cNvPr>
        <xdr:cNvCxnSpPr/>
      </xdr:nvCxnSpPr>
      <xdr:spPr bwMode="auto">
        <a:xfrm>
          <a:off x="18364200" y="9505950"/>
          <a:ext cx="4000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136</xdr:col>
      <xdr:colOff>0</xdr:colOff>
      <xdr:row>58</xdr:row>
      <xdr:rowOff>76200</xdr:rowOff>
    </xdr:from>
    <xdr:to>
      <xdr:col>153</xdr:col>
      <xdr:colOff>34289</xdr:colOff>
      <xdr:row>58</xdr:row>
      <xdr:rowOff>76200</xdr:rowOff>
    </xdr:to>
    <xdr:cxnSp macro="">
      <xdr:nvCxnSpPr>
        <xdr:cNvPr id="224" name="직선 화살표 연결선 223">
          <a:extLst>
            <a:ext uri="{FF2B5EF4-FFF2-40B4-BE49-F238E27FC236}">
              <a16:creationId xmlns:a16="http://schemas.microsoft.com/office/drawing/2014/main" id="{AA98C90E-8005-43BD-AC0A-6EEA125FA0C3}"/>
            </a:ext>
          </a:extLst>
        </xdr:cNvPr>
        <xdr:cNvCxnSpPr/>
      </xdr:nvCxnSpPr>
      <xdr:spPr bwMode="auto">
        <a:xfrm>
          <a:off x="17106900" y="9048750"/>
          <a:ext cx="100583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135</xdr:col>
      <xdr:colOff>0</xdr:colOff>
      <xdr:row>57</xdr:row>
      <xdr:rowOff>76200</xdr:rowOff>
    </xdr:from>
    <xdr:to>
      <xdr:col>171</xdr:col>
      <xdr:colOff>45720</xdr:colOff>
      <xdr:row>57</xdr:row>
      <xdr:rowOff>76200</xdr:rowOff>
    </xdr:to>
    <xdr:cxnSp macro="">
      <xdr:nvCxnSpPr>
        <xdr:cNvPr id="225" name="직선 화살표 연결선 224">
          <a:extLst>
            <a:ext uri="{FF2B5EF4-FFF2-40B4-BE49-F238E27FC236}">
              <a16:creationId xmlns:a16="http://schemas.microsoft.com/office/drawing/2014/main" id="{F727C83D-E84D-4529-BD02-40F739EEB78D}"/>
            </a:ext>
          </a:extLst>
        </xdr:cNvPr>
        <xdr:cNvCxnSpPr/>
      </xdr:nvCxnSpPr>
      <xdr:spPr bwMode="auto">
        <a:xfrm>
          <a:off x="17049750" y="8896350"/>
          <a:ext cx="21031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135</xdr:col>
      <xdr:colOff>0</xdr:colOff>
      <xdr:row>56</xdr:row>
      <xdr:rowOff>76200</xdr:rowOff>
    </xdr:from>
    <xdr:to>
      <xdr:col>167</xdr:col>
      <xdr:colOff>49237</xdr:colOff>
      <xdr:row>56</xdr:row>
      <xdr:rowOff>76200</xdr:rowOff>
    </xdr:to>
    <xdr:cxnSp macro="">
      <xdr:nvCxnSpPr>
        <xdr:cNvPr id="226" name="직선 화살표 연결선 225">
          <a:extLst>
            <a:ext uri="{FF2B5EF4-FFF2-40B4-BE49-F238E27FC236}">
              <a16:creationId xmlns:a16="http://schemas.microsoft.com/office/drawing/2014/main" id="{99445CDB-B191-491A-AB81-1C3CD572E899}"/>
            </a:ext>
          </a:extLst>
        </xdr:cNvPr>
        <xdr:cNvCxnSpPr/>
      </xdr:nvCxnSpPr>
      <xdr:spPr bwMode="auto">
        <a:xfrm>
          <a:off x="17049750" y="8743950"/>
          <a:ext cx="1878037"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135</xdr:col>
      <xdr:colOff>0</xdr:colOff>
      <xdr:row>55</xdr:row>
      <xdr:rowOff>76200</xdr:rowOff>
    </xdr:from>
    <xdr:to>
      <xdr:col>167</xdr:col>
      <xdr:colOff>49237</xdr:colOff>
      <xdr:row>55</xdr:row>
      <xdr:rowOff>76200</xdr:rowOff>
    </xdr:to>
    <xdr:cxnSp macro="">
      <xdr:nvCxnSpPr>
        <xdr:cNvPr id="227" name="직선 화살표 연결선 226">
          <a:extLst>
            <a:ext uri="{FF2B5EF4-FFF2-40B4-BE49-F238E27FC236}">
              <a16:creationId xmlns:a16="http://schemas.microsoft.com/office/drawing/2014/main" id="{B0170888-2776-423C-AF52-1024A2203954}"/>
            </a:ext>
          </a:extLst>
        </xdr:cNvPr>
        <xdr:cNvCxnSpPr/>
      </xdr:nvCxnSpPr>
      <xdr:spPr bwMode="auto">
        <a:xfrm>
          <a:off x="17049750" y="8591550"/>
          <a:ext cx="1878037"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142</xdr:col>
      <xdr:colOff>0</xdr:colOff>
      <xdr:row>54</xdr:row>
      <xdr:rowOff>76200</xdr:rowOff>
    </xdr:from>
    <xdr:to>
      <xdr:col>147</xdr:col>
      <xdr:colOff>11430</xdr:colOff>
      <xdr:row>54</xdr:row>
      <xdr:rowOff>76200</xdr:rowOff>
    </xdr:to>
    <xdr:cxnSp macro="">
      <xdr:nvCxnSpPr>
        <xdr:cNvPr id="228" name="직선 화살표 연결선 227">
          <a:extLst>
            <a:ext uri="{FF2B5EF4-FFF2-40B4-BE49-F238E27FC236}">
              <a16:creationId xmlns:a16="http://schemas.microsoft.com/office/drawing/2014/main" id="{E4CA675C-30E2-48C4-BBC4-5B1E26B67F68}"/>
            </a:ext>
          </a:extLst>
        </xdr:cNvPr>
        <xdr:cNvCxnSpPr/>
      </xdr:nvCxnSpPr>
      <xdr:spPr bwMode="auto">
        <a:xfrm>
          <a:off x="17449800" y="8439150"/>
          <a:ext cx="29718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127</xdr:col>
      <xdr:colOff>0</xdr:colOff>
      <xdr:row>53</xdr:row>
      <xdr:rowOff>76200</xdr:rowOff>
    </xdr:from>
    <xdr:to>
      <xdr:col>143</xdr:col>
      <xdr:colOff>0</xdr:colOff>
      <xdr:row>53</xdr:row>
      <xdr:rowOff>76200</xdr:rowOff>
    </xdr:to>
    <xdr:cxnSp macro="">
      <xdr:nvCxnSpPr>
        <xdr:cNvPr id="229" name="직선 화살표 연결선 228">
          <a:extLst>
            <a:ext uri="{FF2B5EF4-FFF2-40B4-BE49-F238E27FC236}">
              <a16:creationId xmlns:a16="http://schemas.microsoft.com/office/drawing/2014/main" id="{7467F40F-F9D1-436B-8B96-6A852E55F416}"/>
            </a:ext>
          </a:extLst>
        </xdr:cNvPr>
        <xdr:cNvCxnSpPr/>
      </xdr:nvCxnSpPr>
      <xdr:spPr bwMode="auto">
        <a:xfrm>
          <a:off x="16592550" y="8286750"/>
          <a:ext cx="914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126</xdr:col>
      <xdr:colOff>0</xdr:colOff>
      <xdr:row>52</xdr:row>
      <xdr:rowOff>76200</xdr:rowOff>
    </xdr:from>
    <xdr:to>
      <xdr:col>138</xdr:col>
      <xdr:colOff>0</xdr:colOff>
      <xdr:row>52</xdr:row>
      <xdr:rowOff>76200</xdr:rowOff>
    </xdr:to>
    <xdr:cxnSp macro="">
      <xdr:nvCxnSpPr>
        <xdr:cNvPr id="230" name="직선 화살표 연결선 229">
          <a:extLst>
            <a:ext uri="{FF2B5EF4-FFF2-40B4-BE49-F238E27FC236}">
              <a16:creationId xmlns:a16="http://schemas.microsoft.com/office/drawing/2014/main" id="{6508C563-CA47-4131-9224-0C79C5AC0152}"/>
            </a:ext>
          </a:extLst>
        </xdr:cNvPr>
        <xdr:cNvCxnSpPr/>
      </xdr:nvCxnSpPr>
      <xdr:spPr bwMode="auto">
        <a:xfrm>
          <a:off x="16535400" y="8134350"/>
          <a:ext cx="6858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125</xdr:col>
      <xdr:colOff>0</xdr:colOff>
      <xdr:row>51</xdr:row>
      <xdr:rowOff>76200</xdr:rowOff>
    </xdr:from>
    <xdr:to>
      <xdr:col>128</xdr:col>
      <xdr:colOff>0</xdr:colOff>
      <xdr:row>51</xdr:row>
      <xdr:rowOff>76200</xdr:rowOff>
    </xdr:to>
    <xdr:cxnSp macro="">
      <xdr:nvCxnSpPr>
        <xdr:cNvPr id="231" name="직선 화살표 연결선 230">
          <a:extLst>
            <a:ext uri="{FF2B5EF4-FFF2-40B4-BE49-F238E27FC236}">
              <a16:creationId xmlns:a16="http://schemas.microsoft.com/office/drawing/2014/main" id="{EF9E33E3-E240-44F5-A389-46C2BFE86CD2}"/>
            </a:ext>
          </a:extLst>
        </xdr:cNvPr>
        <xdr:cNvCxnSpPr/>
      </xdr:nvCxnSpPr>
      <xdr:spPr bwMode="auto">
        <a:xfrm>
          <a:off x="16478250" y="7981950"/>
          <a:ext cx="1714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124</xdr:col>
      <xdr:colOff>0</xdr:colOff>
      <xdr:row>50</xdr:row>
      <xdr:rowOff>76200</xdr:rowOff>
    </xdr:from>
    <xdr:to>
      <xdr:col>130</xdr:col>
      <xdr:colOff>0</xdr:colOff>
      <xdr:row>50</xdr:row>
      <xdr:rowOff>76200</xdr:rowOff>
    </xdr:to>
    <xdr:cxnSp macro="">
      <xdr:nvCxnSpPr>
        <xdr:cNvPr id="232" name="직선 화살표 연결선 231">
          <a:extLst>
            <a:ext uri="{FF2B5EF4-FFF2-40B4-BE49-F238E27FC236}">
              <a16:creationId xmlns:a16="http://schemas.microsoft.com/office/drawing/2014/main" id="{0BB56CDA-4F23-43D8-94A8-2AA831624EA7}"/>
            </a:ext>
          </a:extLst>
        </xdr:cNvPr>
        <xdr:cNvCxnSpPr/>
      </xdr:nvCxnSpPr>
      <xdr:spPr bwMode="auto">
        <a:xfrm>
          <a:off x="16421100" y="7829550"/>
          <a:ext cx="3429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123</xdr:col>
      <xdr:colOff>0</xdr:colOff>
      <xdr:row>49</xdr:row>
      <xdr:rowOff>76200</xdr:rowOff>
    </xdr:from>
    <xdr:to>
      <xdr:col>128</xdr:col>
      <xdr:colOff>0</xdr:colOff>
      <xdr:row>49</xdr:row>
      <xdr:rowOff>76200</xdr:rowOff>
    </xdr:to>
    <xdr:cxnSp macro="">
      <xdr:nvCxnSpPr>
        <xdr:cNvPr id="233" name="직선 화살표 연결선 232">
          <a:extLst>
            <a:ext uri="{FF2B5EF4-FFF2-40B4-BE49-F238E27FC236}">
              <a16:creationId xmlns:a16="http://schemas.microsoft.com/office/drawing/2014/main" id="{AFB3D5C6-4F94-4174-BD91-E569CF2170B4}"/>
            </a:ext>
          </a:extLst>
        </xdr:cNvPr>
        <xdr:cNvCxnSpPr/>
      </xdr:nvCxnSpPr>
      <xdr:spPr bwMode="auto">
        <a:xfrm>
          <a:off x="16363950" y="7677150"/>
          <a:ext cx="2857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122</xdr:col>
      <xdr:colOff>0</xdr:colOff>
      <xdr:row>48</xdr:row>
      <xdr:rowOff>76200</xdr:rowOff>
    </xdr:from>
    <xdr:to>
      <xdr:col>143</xdr:col>
      <xdr:colOff>0</xdr:colOff>
      <xdr:row>48</xdr:row>
      <xdr:rowOff>76200</xdr:rowOff>
    </xdr:to>
    <xdr:cxnSp macro="">
      <xdr:nvCxnSpPr>
        <xdr:cNvPr id="234" name="직선 화살표 연결선 233">
          <a:extLst>
            <a:ext uri="{FF2B5EF4-FFF2-40B4-BE49-F238E27FC236}">
              <a16:creationId xmlns:a16="http://schemas.microsoft.com/office/drawing/2014/main" id="{D61F9FFD-C19B-4234-BB95-A0E6F30307D1}"/>
            </a:ext>
          </a:extLst>
        </xdr:cNvPr>
        <xdr:cNvCxnSpPr/>
      </xdr:nvCxnSpPr>
      <xdr:spPr bwMode="auto">
        <a:xfrm>
          <a:off x="16306800" y="7524750"/>
          <a:ext cx="12001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122</xdr:col>
      <xdr:colOff>0</xdr:colOff>
      <xdr:row>47</xdr:row>
      <xdr:rowOff>76200</xdr:rowOff>
    </xdr:from>
    <xdr:to>
      <xdr:col>164</xdr:col>
      <xdr:colOff>39956</xdr:colOff>
      <xdr:row>47</xdr:row>
      <xdr:rowOff>76200</xdr:rowOff>
    </xdr:to>
    <xdr:cxnSp macro="">
      <xdr:nvCxnSpPr>
        <xdr:cNvPr id="235" name="직선 화살표 연결선 234">
          <a:extLst>
            <a:ext uri="{FF2B5EF4-FFF2-40B4-BE49-F238E27FC236}">
              <a16:creationId xmlns:a16="http://schemas.microsoft.com/office/drawing/2014/main" id="{3C412911-38A9-472A-AD55-CAA6601FC4F2}"/>
            </a:ext>
          </a:extLst>
        </xdr:cNvPr>
        <xdr:cNvCxnSpPr/>
      </xdr:nvCxnSpPr>
      <xdr:spPr bwMode="auto">
        <a:xfrm>
          <a:off x="16306800" y="7372350"/>
          <a:ext cx="244025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141</xdr:col>
      <xdr:colOff>0</xdr:colOff>
      <xdr:row>43</xdr:row>
      <xdr:rowOff>76200</xdr:rowOff>
    </xdr:from>
    <xdr:to>
      <xdr:col>145</xdr:col>
      <xdr:colOff>11430</xdr:colOff>
      <xdr:row>43</xdr:row>
      <xdr:rowOff>76200</xdr:rowOff>
    </xdr:to>
    <xdr:cxnSp macro="">
      <xdr:nvCxnSpPr>
        <xdr:cNvPr id="236" name="직선 화살표 연결선 235">
          <a:extLst>
            <a:ext uri="{FF2B5EF4-FFF2-40B4-BE49-F238E27FC236}">
              <a16:creationId xmlns:a16="http://schemas.microsoft.com/office/drawing/2014/main" id="{FDA40300-C853-4E6E-8D3F-E7775A58076B}"/>
            </a:ext>
          </a:extLst>
        </xdr:cNvPr>
        <xdr:cNvCxnSpPr/>
      </xdr:nvCxnSpPr>
      <xdr:spPr bwMode="auto">
        <a:xfrm>
          <a:off x="17392650" y="6762750"/>
          <a:ext cx="24003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132</xdr:col>
      <xdr:colOff>0</xdr:colOff>
      <xdr:row>42</xdr:row>
      <xdr:rowOff>76200</xdr:rowOff>
    </xdr:from>
    <xdr:to>
      <xdr:col>134</xdr:col>
      <xdr:colOff>40005</xdr:colOff>
      <xdr:row>42</xdr:row>
      <xdr:rowOff>76200</xdr:rowOff>
    </xdr:to>
    <xdr:cxnSp macro="">
      <xdr:nvCxnSpPr>
        <xdr:cNvPr id="237" name="직선 화살표 연결선 236">
          <a:extLst>
            <a:ext uri="{FF2B5EF4-FFF2-40B4-BE49-F238E27FC236}">
              <a16:creationId xmlns:a16="http://schemas.microsoft.com/office/drawing/2014/main" id="{E1D4992D-01B0-4F42-A532-C681D27E042A}"/>
            </a:ext>
          </a:extLst>
        </xdr:cNvPr>
        <xdr:cNvCxnSpPr/>
      </xdr:nvCxnSpPr>
      <xdr:spPr bwMode="auto">
        <a:xfrm>
          <a:off x="16878300" y="6610350"/>
          <a:ext cx="154305"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120</xdr:col>
      <xdr:colOff>0</xdr:colOff>
      <xdr:row>41</xdr:row>
      <xdr:rowOff>76200</xdr:rowOff>
    </xdr:from>
    <xdr:to>
      <xdr:col>128</xdr:col>
      <xdr:colOff>22861</xdr:colOff>
      <xdr:row>41</xdr:row>
      <xdr:rowOff>76200</xdr:rowOff>
    </xdr:to>
    <xdr:cxnSp macro="">
      <xdr:nvCxnSpPr>
        <xdr:cNvPr id="238" name="직선 화살표 연결선 237">
          <a:extLst>
            <a:ext uri="{FF2B5EF4-FFF2-40B4-BE49-F238E27FC236}">
              <a16:creationId xmlns:a16="http://schemas.microsoft.com/office/drawing/2014/main" id="{21D140DD-5FCA-471C-86D6-0F4311AE5480}"/>
            </a:ext>
          </a:extLst>
        </xdr:cNvPr>
        <xdr:cNvCxnSpPr/>
      </xdr:nvCxnSpPr>
      <xdr:spPr bwMode="auto">
        <a:xfrm>
          <a:off x="16192500" y="6457950"/>
          <a:ext cx="480061"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110</xdr:col>
      <xdr:colOff>0</xdr:colOff>
      <xdr:row>40</xdr:row>
      <xdr:rowOff>76200</xdr:rowOff>
    </xdr:from>
    <xdr:to>
      <xdr:col>118</xdr:col>
      <xdr:colOff>0</xdr:colOff>
      <xdr:row>40</xdr:row>
      <xdr:rowOff>76200</xdr:rowOff>
    </xdr:to>
    <xdr:cxnSp macro="">
      <xdr:nvCxnSpPr>
        <xdr:cNvPr id="239" name="직선 화살표 연결선 238">
          <a:extLst>
            <a:ext uri="{FF2B5EF4-FFF2-40B4-BE49-F238E27FC236}">
              <a16:creationId xmlns:a16="http://schemas.microsoft.com/office/drawing/2014/main" id="{BF750175-AAF4-4BD2-8B30-B60675924380}"/>
            </a:ext>
          </a:extLst>
        </xdr:cNvPr>
        <xdr:cNvCxnSpPr/>
      </xdr:nvCxnSpPr>
      <xdr:spPr bwMode="auto">
        <a:xfrm>
          <a:off x="15621000" y="6305550"/>
          <a:ext cx="4572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110</xdr:col>
      <xdr:colOff>0</xdr:colOff>
      <xdr:row>39</xdr:row>
      <xdr:rowOff>76200</xdr:rowOff>
    </xdr:from>
    <xdr:to>
      <xdr:col>125</xdr:col>
      <xdr:colOff>13005</xdr:colOff>
      <xdr:row>39</xdr:row>
      <xdr:rowOff>76200</xdr:rowOff>
    </xdr:to>
    <xdr:cxnSp macro="">
      <xdr:nvCxnSpPr>
        <xdr:cNvPr id="240" name="직선 화살표 연결선 239">
          <a:extLst>
            <a:ext uri="{FF2B5EF4-FFF2-40B4-BE49-F238E27FC236}">
              <a16:creationId xmlns:a16="http://schemas.microsoft.com/office/drawing/2014/main" id="{7BB14293-EA67-4DD7-94BE-D1311A188BCE}"/>
            </a:ext>
          </a:extLst>
        </xdr:cNvPr>
        <xdr:cNvCxnSpPr/>
      </xdr:nvCxnSpPr>
      <xdr:spPr bwMode="auto">
        <a:xfrm>
          <a:off x="15621000" y="6153150"/>
          <a:ext cx="870255"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110</xdr:col>
      <xdr:colOff>0</xdr:colOff>
      <xdr:row>38</xdr:row>
      <xdr:rowOff>76200</xdr:rowOff>
    </xdr:from>
    <xdr:to>
      <xdr:col>156</xdr:col>
      <xdr:colOff>38191</xdr:colOff>
      <xdr:row>38</xdr:row>
      <xdr:rowOff>76200</xdr:rowOff>
    </xdr:to>
    <xdr:cxnSp macro="">
      <xdr:nvCxnSpPr>
        <xdr:cNvPr id="241" name="직선 화살표 연결선 240">
          <a:extLst>
            <a:ext uri="{FF2B5EF4-FFF2-40B4-BE49-F238E27FC236}">
              <a16:creationId xmlns:a16="http://schemas.microsoft.com/office/drawing/2014/main" id="{98744380-237F-4209-A764-FE9132C09C20}"/>
            </a:ext>
          </a:extLst>
        </xdr:cNvPr>
        <xdr:cNvCxnSpPr/>
      </xdr:nvCxnSpPr>
      <xdr:spPr bwMode="auto">
        <a:xfrm>
          <a:off x="15621000" y="6000750"/>
          <a:ext cx="2667091"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110</xdr:col>
      <xdr:colOff>0</xdr:colOff>
      <xdr:row>36</xdr:row>
      <xdr:rowOff>76200</xdr:rowOff>
    </xdr:from>
    <xdr:to>
      <xdr:col>156</xdr:col>
      <xdr:colOff>31099</xdr:colOff>
      <xdr:row>36</xdr:row>
      <xdr:rowOff>76200</xdr:rowOff>
    </xdr:to>
    <xdr:cxnSp macro="">
      <xdr:nvCxnSpPr>
        <xdr:cNvPr id="242" name="직선 화살표 연결선 241">
          <a:extLst>
            <a:ext uri="{FF2B5EF4-FFF2-40B4-BE49-F238E27FC236}">
              <a16:creationId xmlns:a16="http://schemas.microsoft.com/office/drawing/2014/main" id="{D08BFA4A-231E-4D1F-A2F4-5E12C36F8AFF}"/>
            </a:ext>
          </a:extLst>
        </xdr:cNvPr>
        <xdr:cNvCxnSpPr/>
      </xdr:nvCxnSpPr>
      <xdr:spPr bwMode="auto">
        <a:xfrm>
          <a:off x="15621000" y="5695950"/>
          <a:ext cx="265999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110</xdr:col>
      <xdr:colOff>0</xdr:colOff>
      <xdr:row>35</xdr:row>
      <xdr:rowOff>76200</xdr:rowOff>
    </xdr:from>
    <xdr:to>
      <xdr:col>155</xdr:col>
      <xdr:colOff>39632</xdr:colOff>
      <xdr:row>35</xdr:row>
      <xdr:rowOff>76200</xdr:rowOff>
    </xdr:to>
    <xdr:cxnSp macro="">
      <xdr:nvCxnSpPr>
        <xdr:cNvPr id="243" name="직선 화살표 연결선 242">
          <a:extLst>
            <a:ext uri="{FF2B5EF4-FFF2-40B4-BE49-F238E27FC236}">
              <a16:creationId xmlns:a16="http://schemas.microsoft.com/office/drawing/2014/main" id="{8642D6CE-2172-416A-AA8B-AA3D57C64FDB}"/>
            </a:ext>
          </a:extLst>
        </xdr:cNvPr>
        <xdr:cNvCxnSpPr/>
      </xdr:nvCxnSpPr>
      <xdr:spPr bwMode="auto">
        <a:xfrm>
          <a:off x="15621000" y="5543550"/>
          <a:ext cx="261138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93</xdr:col>
      <xdr:colOff>0</xdr:colOff>
      <xdr:row>34</xdr:row>
      <xdr:rowOff>76200</xdr:rowOff>
    </xdr:from>
    <xdr:to>
      <xdr:col>110</xdr:col>
      <xdr:colOff>0</xdr:colOff>
      <xdr:row>34</xdr:row>
      <xdr:rowOff>76200</xdr:rowOff>
    </xdr:to>
    <xdr:cxnSp macro="">
      <xdr:nvCxnSpPr>
        <xdr:cNvPr id="244" name="직선 화살표 연결선 243">
          <a:extLst>
            <a:ext uri="{FF2B5EF4-FFF2-40B4-BE49-F238E27FC236}">
              <a16:creationId xmlns:a16="http://schemas.microsoft.com/office/drawing/2014/main" id="{4D12C269-15E0-459A-A009-A454ACC358F3}"/>
            </a:ext>
          </a:extLst>
        </xdr:cNvPr>
        <xdr:cNvCxnSpPr/>
      </xdr:nvCxnSpPr>
      <xdr:spPr bwMode="auto">
        <a:xfrm>
          <a:off x="14649450" y="5391150"/>
          <a:ext cx="9715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93</xdr:col>
      <xdr:colOff>0</xdr:colOff>
      <xdr:row>33</xdr:row>
      <xdr:rowOff>76200</xdr:rowOff>
    </xdr:from>
    <xdr:to>
      <xdr:col>110</xdr:col>
      <xdr:colOff>0</xdr:colOff>
      <xdr:row>33</xdr:row>
      <xdr:rowOff>76200</xdr:rowOff>
    </xdr:to>
    <xdr:cxnSp macro="">
      <xdr:nvCxnSpPr>
        <xdr:cNvPr id="245" name="직선 화살표 연결선 244">
          <a:extLst>
            <a:ext uri="{FF2B5EF4-FFF2-40B4-BE49-F238E27FC236}">
              <a16:creationId xmlns:a16="http://schemas.microsoft.com/office/drawing/2014/main" id="{3CF2136F-A64F-4E0B-BD72-D0A4855CFB7D}"/>
            </a:ext>
          </a:extLst>
        </xdr:cNvPr>
        <xdr:cNvCxnSpPr/>
      </xdr:nvCxnSpPr>
      <xdr:spPr bwMode="auto">
        <a:xfrm>
          <a:off x="14649450" y="5238750"/>
          <a:ext cx="9715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93</xdr:col>
      <xdr:colOff>0</xdr:colOff>
      <xdr:row>32</xdr:row>
      <xdr:rowOff>76200</xdr:rowOff>
    </xdr:from>
    <xdr:to>
      <xdr:col>110</xdr:col>
      <xdr:colOff>0</xdr:colOff>
      <xdr:row>32</xdr:row>
      <xdr:rowOff>76200</xdr:rowOff>
    </xdr:to>
    <xdr:cxnSp macro="">
      <xdr:nvCxnSpPr>
        <xdr:cNvPr id="246" name="직선 화살표 연결선 245">
          <a:extLst>
            <a:ext uri="{FF2B5EF4-FFF2-40B4-BE49-F238E27FC236}">
              <a16:creationId xmlns:a16="http://schemas.microsoft.com/office/drawing/2014/main" id="{2EA6B07D-5EE6-40FE-9382-CBE7FE903C69}"/>
            </a:ext>
          </a:extLst>
        </xdr:cNvPr>
        <xdr:cNvCxnSpPr/>
      </xdr:nvCxnSpPr>
      <xdr:spPr bwMode="auto">
        <a:xfrm>
          <a:off x="14649450" y="5086350"/>
          <a:ext cx="9715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93</xdr:col>
      <xdr:colOff>0</xdr:colOff>
      <xdr:row>31</xdr:row>
      <xdr:rowOff>76200</xdr:rowOff>
    </xdr:from>
    <xdr:to>
      <xdr:col>110</xdr:col>
      <xdr:colOff>0</xdr:colOff>
      <xdr:row>31</xdr:row>
      <xdr:rowOff>76200</xdr:rowOff>
    </xdr:to>
    <xdr:cxnSp macro="">
      <xdr:nvCxnSpPr>
        <xdr:cNvPr id="247" name="직선 화살표 연결선 246">
          <a:extLst>
            <a:ext uri="{FF2B5EF4-FFF2-40B4-BE49-F238E27FC236}">
              <a16:creationId xmlns:a16="http://schemas.microsoft.com/office/drawing/2014/main" id="{3E652367-4785-445E-8BAE-E2C1598AB34E}"/>
            </a:ext>
          </a:extLst>
        </xdr:cNvPr>
        <xdr:cNvCxnSpPr/>
      </xdr:nvCxnSpPr>
      <xdr:spPr bwMode="auto">
        <a:xfrm>
          <a:off x="14649450" y="4933950"/>
          <a:ext cx="9715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30</xdr:row>
      <xdr:rowOff>76200</xdr:rowOff>
    </xdr:from>
    <xdr:to>
      <xdr:col>110</xdr:col>
      <xdr:colOff>0</xdr:colOff>
      <xdr:row>30</xdr:row>
      <xdr:rowOff>76200</xdr:rowOff>
    </xdr:to>
    <xdr:cxnSp macro="">
      <xdr:nvCxnSpPr>
        <xdr:cNvPr id="248" name="직선 화살표 연결선 247">
          <a:extLst>
            <a:ext uri="{FF2B5EF4-FFF2-40B4-BE49-F238E27FC236}">
              <a16:creationId xmlns:a16="http://schemas.microsoft.com/office/drawing/2014/main" id="{F3950AF5-6AAF-4E56-BBB3-A04E5BDA5EF6}"/>
            </a:ext>
          </a:extLst>
        </xdr:cNvPr>
        <xdr:cNvCxnSpPr/>
      </xdr:nvCxnSpPr>
      <xdr:spPr bwMode="auto">
        <a:xfrm>
          <a:off x="14992350" y="4781550"/>
          <a:ext cx="6286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29</xdr:row>
      <xdr:rowOff>76200</xdr:rowOff>
    </xdr:from>
    <xdr:to>
      <xdr:col>110</xdr:col>
      <xdr:colOff>0</xdr:colOff>
      <xdr:row>29</xdr:row>
      <xdr:rowOff>76200</xdr:rowOff>
    </xdr:to>
    <xdr:cxnSp macro="">
      <xdr:nvCxnSpPr>
        <xdr:cNvPr id="249" name="직선 화살표 연결선 248">
          <a:extLst>
            <a:ext uri="{FF2B5EF4-FFF2-40B4-BE49-F238E27FC236}">
              <a16:creationId xmlns:a16="http://schemas.microsoft.com/office/drawing/2014/main" id="{4F54A499-2173-4135-8326-E4B0B8555AE0}"/>
            </a:ext>
          </a:extLst>
        </xdr:cNvPr>
        <xdr:cNvCxnSpPr/>
      </xdr:nvCxnSpPr>
      <xdr:spPr bwMode="auto">
        <a:xfrm>
          <a:off x="14992350" y="4629150"/>
          <a:ext cx="6286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28</xdr:row>
      <xdr:rowOff>76200</xdr:rowOff>
    </xdr:from>
    <xdr:to>
      <xdr:col>105</xdr:col>
      <xdr:colOff>0</xdr:colOff>
      <xdr:row>28</xdr:row>
      <xdr:rowOff>76200</xdr:rowOff>
    </xdr:to>
    <xdr:cxnSp macro="">
      <xdr:nvCxnSpPr>
        <xdr:cNvPr id="250" name="직선 화살표 연결선 249">
          <a:extLst>
            <a:ext uri="{FF2B5EF4-FFF2-40B4-BE49-F238E27FC236}">
              <a16:creationId xmlns:a16="http://schemas.microsoft.com/office/drawing/2014/main" id="{9FC67D1B-5A87-4DD1-A8ED-C26562793E07}"/>
            </a:ext>
          </a:extLst>
        </xdr:cNvPr>
        <xdr:cNvCxnSpPr/>
      </xdr:nvCxnSpPr>
      <xdr:spPr bwMode="auto">
        <a:xfrm>
          <a:off x="14992350" y="4476750"/>
          <a:ext cx="3429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93</xdr:col>
      <xdr:colOff>0</xdr:colOff>
      <xdr:row>27</xdr:row>
      <xdr:rowOff>76200</xdr:rowOff>
    </xdr:from>
    <xdr:to>
      <xdr:col>100</xdr:col>
      <xdr:colOff>0</xdr:colOff>
      <xdr:row>27</xdr:row>
      <xdr:rowOff>76200</xdr:rowOff>
    </xdr:to>
    <xdr:cxnSp macro="">
      <xdr:nvCxnSpPr>
        <xdr:cNvPr id="251" name="직선 화살표 연결선 250">
          <a:extLst>
            <a:ext uri="{FF2B5EF4-FFF2-40B4-BE49-F238E27FC236}">
              <a16:creationId xmlns:a16="http://schemas.microsoft.com/office/drawing/2014/main" id="{2B573F2C-8C97-444E-B2C9-8A74541CB13F}"/>
            </a:ext>
          </a:extLst>
        </xdr:cNvPr>
        <xdr:cNvCxnSpPr/>
      </xdr:nvCxnSpPr>
      <xdr:spPr bwMode="auto">
        <a:xfrm>
          <a:off x="14649450" y="4324350"/>
          <a:ext cx="4000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93</xdr:col>
      <xdr:colOff>0</xdr:colOff>
      <xdr:row>26</xdr:row>
      <xdr:rowOff>76200</xdr:rowOff>
    </xdr:from>
    <xdr:to>
      <xdr:col>110</xdr:col>
      <xdr:colOff>0</xdr:colOff>
      <xdr:row>26</xdr:row>
      <xdr:rowOff>76200</xdr:rowOff>
    </xdr:to>
    <xdr:cxnSp macro="">
      <xdr:nvCxnSpPr>
        <xdr:cNvPr id="252" name="직선 화살표 연결선 251">
          <a:extLst>
            <a:ext uri="{FF2B5EF4-FFF2-40B4-BE49-F238E27FC236}">
              <a16:creationId xmlns:a16="http://schemas.microsoft.com/office/drawing/2014/main" id="{EF18DD89-6EB9-49F6-BBF3-0D4678D6D2A1}"/>
            </a:ext>
          </a:extLst>
        </xdr:cNvPr>
        <xdr:cNvCxnSpPr/>
      </xdr:nvCxnSpPr>
      <xdr:spPr bwMode="auto">
        <a:xfrm>
          <a:off x="14649450" y="4171950"/>
          <a:ext cx="9715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93</xdr:col>
      <xdr:colOff>0</xdr:colOff>
      <xdr:row>25</xdr:row>
      <xdr:rowOff>76200</xdr:rowOff>
    </xdr:from>
    <xdr:to>
      <xdr:col>110</xdr:col>
      <xdr:colOff>0</xdr:colOff>
      <xdr:row>25</xdr:row>
      <xdr:rowOff>76200</xdr:rowOff>
    </xdr:to>
    <xdr:cxnSp macro="">
      <xdr:nvCxnSpPr>
        <xdr:cNvPr id="253" name="직선 화살표 연결선 252">
          <a:extLst>
            <a:ext uri="{FF2B5EF4-FFF2-40B4-BE49-F238E27FC236}">
              <a16:creationId xmlns:a16="http://schemas.microsoft.com/office/drawing/2014/main" id="{7F46C21A-7C89-4AFE-B76D-11F70FFED792}"/>
            </a:ext>
          </a:extLst>
        </xdr:cNvPr>
        <xdr:cNvCxnSpPr/>
      </xdr:nvCxnSpPr>
      <xdr:spPr bwMode="auto">
        <a:xfrm>
          <a:off x="14649450" y="4019550"/>
          <a:ext cx="9715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24</xdr:row>
      <xdr:rowOff>76200</xdr:rowOff>
    </xdr:from>
    <xdr:to>
      <xdr:col>89</xdr:col>
      <xdr:colOff>0</xdr:colOff>
      <xdr:row>24</xdr:row>
      <xdr:rowOff>76200</xdr:rowOff>
    </xdr:to>
    <xdr:cxnSp macro="">
      <xdr:nvCxnSpPr>
        <xdr:cNvPr id="254" name="직선 화살표 연결선 253">
          <a:extLst>
            <a:ext uri="{FF2B5EF4-FFF2-40B4-BE49-F238E27FC236}">
              <a16:creationId xmlns:a16="http://schemas.microsoft.com/office/drawing/2014/main" id="{47CDB9AD-62CE-4316-A95F-B3C7E9750347}"/>
            </a:ext>
          </a:extLst>
        </xdr:cNvPr>
        <xdr:cNvCxnSpPr/>
      </xdr:nvCxnSpPr>
      <xdr:spPr bwMode="auto">
        <a:xfrm>
          <a:off x="13563600" y="3867150"/>
          <a:ext cx="8572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23</xdr:row>
      <xdr:rowOff>76200</xdr:rowOff>
    </xdr:from>
    <xdr:to>
      <xdr:col>89</xdr:col>
      <xdr:colOff>0</xdr:colOff>
      <xdr:row>23</xdr:row>
      <xdr:rowOff>76200</xdr:rowOff>
    </xdr:to>
    <xdr:cxnSp macro="">
      <xdr:nvCxnSpPr>
        <xdr:cNvPr id="255" name="직선 화살표 연결선 254">
          <a:extLst>
            <a:ext uri="{FF2B5EF4-FFF2-40B4-BE49-F238E27FC236}">
              <a16:creationId xmlns:a16="http://schemas.microsoft.com/office/drawing/2014/main" id="{4DCA777E-9733-47AC-ADDA-816C3966220E}"/>
            </a:ext>
          </a:extLst>
        </xdr:cNvPr>
        <xdr:cNvCxnSpPr/>
      </xdr:nvCxnSpPr>
      <xdr:spPr bwMode="auto">
        <a:xfrm>
          <a:off x="13563600" y="3714750"/>
          <a:ext cx="8572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22</xdr:row>
      <xdr:rowOff>76200</xdr:rowOff>
    </xdr:from>
    <xdr:to>
      <xdr:col>94</xdr:col>
      <xdr:colOff>0</xdr:colOff>
      <xdr:row>22</xdr:row>
      <xdr:rowOff>76200</xdr:rowOff>
    </xdr:to>
    <xdr:cxnSp macro="">
      <xdr:nvCxnSpPr>
        <xdr:cNvPr id="256" name="직선 화살표 연결선 255">
          <a:extLst>
            <a:ext uri="{FF2B5EF4-FFF2-40B4-BE49-F238E27FC236}">
              <a16:creationId xmlns:a16="http://schemas.microsoft.com/office/drawing/2014/main" id="{BCA09A1B-2DBD-4DA6-A67B-82BA5F099C50}"/>
            </a:ext>
          </a:extLst>
        </xdr:cNvPr>
        <xdr:cNvCxnSpPr/>
      </xdr:nvCxnSpPr>
      <xdr:spPr bwMode="auto">
        <a:xfrm>
          <a:off x="13563600" y="3562350"/>
          <a:ext cx="11430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21</xdr:row>
      <xdr:rowOff>76200</xdr:rowOff>
    </xdr:from>
    <xdr:to>
      <xdr:col>90</xdr:col>
      <xdr:colOff>38100</xdr:colOff>
      <xdr:row>21</xdr:row>
      <xdr:rowOff>76200</xdr:rowOff>
    </xdr:to>
    <xdr:cxnSp macro="">
      <xdr:nvCxnSpPr>
        <xdr:cNvPr id="257" name="직선 화살표 연결선 256">
          <a:extLst>
            <a:ext uri="{FF2B5EF4-FFF2-40B4-BE49-F238E27FC236}">
              <a16:creationId xmlns:a16="http://schemas.microsoft.com/office/drawing/2014/main" id="{E2E112A6-D31D-4AB3-87E9-064B1562D099}"/>
            </a:ext>
          </a:extLst>
        </xdr:cNvPr>
        <xdr:cNvCxnSpPr/>
      </xdr:nvCxnSpPr>
      <xdr:spPr bwMode="auto">
        <a:xfrm>
          <a:off x="13563600" y="3409950"/>
          <a:ext cx="9525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20</xdr:row>
      <xdr:rowOff>76200</xdr:rowOff>
    </xdr:from>
    <xdr:to>
      <xdr:col>149</xdr:col>
      <xdr:colOff>18270</xdr:colOff>
      <xdr:row>20</xdr:row>
      <xdr:rowOff>76200</xdr:rowOff>
    </xdr:to>
    <xdr:cxnSp macro="">
      <xdr:nvCxnSpPr>
        <xdr:cNvPr id="258" name="직선 화살표 연결선 257">
          <a:extLst>
            <a:ext uri="{FF2B5EF4-FFF2-40B4-BE49-F238E27FC236}">
              <a16:creationId xmlns:a16="http://schemas.microsoft.com/office/drawing/2014/main" id="{65DC2F8D-4B3F-4849-A91A-6EE62DBBFC2B}"/>
            </a:ext>
          </a:extLst>
        </xdr:cNvPr>
        <xdr:cNvCxnSpPr/>
      </xdr:nvCxnSpPr>
      <xdr:spPr bwMode="auto">
        <a:xfrm>
          <a:off x="13563600" y="3257550"/>
          <a:ext cx="43045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129</xdr:col>
      <xdr:colOff>0</xdr:colOff>
      <xdr:row>11</xdr:row>
      <xdr:rowOff>76200</xdr:rowOff>
    </xdr:from>
    <xdr:to>
      <xdr:col>132</xdr:col>
      <xdr:colOff>0</xdr:colOff>
      <xdr:row>11</xdr:row>
      <xdr:rowOff>76200</xdr:rowOff>
    </xdr:to>
    <xdr:cxnSp macro="">
      <xdr:nvCxnSpPr>
        <xdr:cNvPr id="259" name="직선 화살표 연결선 258">
          <a:extLst>
            <a:ext uri="{FF2B5EF4-FFF2-40B4-BE49-F238E27FC236}">
              <a16:creationId xmlns:a16="http://schemas.microsoft.com/office/drawing/2014/main" id="{F9B1CD51-3C12-4CF0-9DD7-7B7C0597F503}"/>
            </a:ext>
          </a:extLst>
        </xdr:cNvPr>
        <xdr:cNvCxnSpPr/>
      </xdr:nvCxnSpPr>
      <xdr:spPr bwMode="auto">
        <a:xfrm>
          <a:off x="16706850" y="1885950"/>
          <a:ext cx="1714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129</xdr:col>
      <xdr:colOff>0</xdr:colOff>
      <xdr:row>10</xdr:row>
      <xdr:rowOff>76200</xdr:rowOff>
    </xdr:from>
    <xdr:to>
      <xdr:col>152</xdr:col>
      <xdr:colOff>28575</xdr:colOff>
      <xdr:row>10</xdr:row>
      <xdr:rowOff>76200</xdr:rowOff>
    </xdr:to>
    <xdr:cxnSp macro="">
      <xdr:nvCxnSpPr>
        <xdr:cNvPr id="260" name="직선 화살표 연결선 259">
          <a:extLst>
            <a:ext uri="{FF2B5EF4-FFF2-40B4-BE49-F238E27FC236}">
              <a16:creationId xmlns:a16="http://schemas.microsoft.com/office/drawing/2014/main" id="{A5C6AAEB-38DC-4091-BAEB-B26764D1D259}"/>
            </a:ext>
          </a:extLst>
        </xdr:cNvPr>
        <xdr:cNvCxnSpPr/>
      </xdr:nvCxnSpPr>
      <xdr:spPr bwMode="auto">
        <a:xfrm>
          <a:off x="16706850" y="1733550"/>
          <a:ext cx="1343025"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92</xdr:col>
      <xdr:colOff>0</xdr:colOff>
      <xdr:row>9</xdr:row>
      <xdr:rowOff>76200</xdr:rowOff>
    </xdr:from>
    <xdr:to>
      <xdr:col>94</xdr:col>
      <xdr:colOff>0</xdr:colOff>
      <xdr:row>9</xdr:row>
      <xdr:rowOff>76200</xdr:rowOff>
    </xdr:to>
    <xdr:cxnSp macro="">
      <xdr:nvCxnSpPr>
        <xdr:cNvPr id="261" name="직선 화살표 연결선 260">
          <a:extLst>
            <a:ext uri="{FF2B5EF4-FFF2-40B4-BE49-F238E27FC236}">
              <a16:creationId xmlns:a16="http://schemas.microsoft.com/office/drawing/2014/main" id="{1944EA56-DB3A-45B8-8A48-92B28283637F}"/>
            </a:ext>
          </a:extLst>
        </xdr:cNvPr>
        <xdr:cNvCxnSpPr/>
      </xdr:nvCxnSpPr>
      <xdr:spPr bwMode="auto">
        <a:xfrm>
          <a:off x="14592300" y="1581150"/>
          <a:ext cx="1143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7</xdr:row>
      <xdr:rowOff>76200</xdr:rowOff>
    </xdr:from>
    <xdr:to>
      <xdr:col>75</xdr:col>
      <xdr:colOff>51707</xdr:colOff>
      <xdr:row>7</xdr:row>
      <xdr:rowOff>76200</xdr:rowOff>
    </xdr:to>
    <xdr:cxnSp macro="">
      <xdr:nvCxnSpPr>
        <xdr:cNvPr id="262" name="직선 화살표 연결선 261">
          <a:extLst>
            <a:ext uri="{FF2B5EF4-FFF2-40B4-BE49-F238E27FC236}">
              <a16:creationId xmlns:a16="http://schemas.microsoft.com/office/drawing/2014/main" id="{0ACEB0A9-0FF9-4B4B-AD12-027CE0B4B7B7}"/>
            </a:ext>
          </a:extLst>
        </xdr:cNvPr>
        <xdr:cNvCxnSpPr/>
      </xdr:nvCxnSpPr>
      <xdr:spPr bwMode="auto">
        <a:xfrm>
          <a:off x="13563600" y="1276350"/>
          <a:ext cx="108857"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6</xdr:row>
      <xdr:rowOff>76200</xdr:rowOff>
    </xdr:from>
    <xdr:to>
      <xdr:col>75</xdr:col>
      <xdr:colOff>0</xdr:colOff>
      <xdr:row>6</xdr:row>
      <xdr:rowOff>76200</xdr:rowOff>
    </xdr:to>
    <xdr:cxnSp macro="">
      <xdr:nvCxnSpPr>
        <xdr:cNvPr id="263" name="직선 화살표 연결선 262">
          <a:extLst>
            <a:ext uri="{FF2B5EF4-FFF2-40B4-BE49-F238E27FC236}">
              <a16:creationId xmlns:a16="http://schemas.microsoft.com/office/drawing/2014/main" id="{BDA964C2-886A-4D81-AC41-D60BAA14289C}"/>
            </a:ext>
          </a:extLst>
        </xdr:cNvPr>
        <xdr:cNvCxnSpPr/>
      </xdr:nvCxnSpPr>
      <xdr:spPr bwMode="auto">
        <a:xfrm>
          <a:off x="13506450" y="1123950"/>
          <a:ext cx="1143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5</xdr:row>
      <xdr:rowOff>76200</xdr:rowOff>
    </xdr:from>
    <xdr:to>
      <xdr:col>76</xdr:col>
      <xdr:colOff>37272</xdr:colOff>
      <xdr:row>5</xdr:row>
      <xdr:rowOff>76200</xdr:rowOff>
    </xdr:to>
    <xdr:cxnSp macro="">
      <xdr:nvCxnSpPr>
        <xdr:cNvPr id="264" name="직선 화살표 연결선 263">
          <a:extLst>
            <a:ext uri="{FF2B5EF4-FFF2-40B4-BE49-F238E27FC236}">
              <a16:creationId xmlns:a16="http://schemas.microsoft.com/office/drawing/2014/main" id="{97826594-4969-4831-A286-B875483DE33D}"/>
            </a:ext>
          </a:extLst>
        </xdr:cNvPr>
        <xdr:cNvCxnSpPr/>
      </xdr:nvCxnSpPr>
      <xdr:spPr bwMode="auto">
        <a:xfrm>
          <a:off x="13506450" y="971550"/>
          <a:ext cx="20872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4</xdr:row>
      <xdr:rowOff>76200</xdr:rowOff>
    </xdr:from>
    <xdr:to>
      <xdr:col>100</xdr:col>
      <xdr:colOff>11689</xdr:colOff>
      <xdr:row>4</xdr:row>
      <xdr:rowOff>76200</xdr:rowOff>
    </xdr:to>
    <xdr:cxnSp macro="">
      <xdr:nvCxnSpPr>
        <xdr:cNvPr id="265" name="직선 화살표 연결선 264">
          <a:extLst>
            <a:ext uri="{FF2B5EF4-FFF2-40B4-BE49-F238E27FC236}">
              <a16:creationId xmlns:a16="http://schemas.microsoft.com/office/drawing/2014/main" id="{E22DB3C5-3A59-4257-88A2-B618A860AFC0}"/>
            </a:ext>
          </a:extLst>
        </xdr:cNvPr>
        <xdr:cNvCxnSpPr/>
      </xdr:nvCxnSpPr>
      <xdr:spPr bwMode="auto">
        <a:xfrm>
          <a:off x="13506450" y="819150"/>
          <a:ext cx="155473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1"/>
  <sheetViews>
    <sheetView tabSelected="1" topLeftCell="AA1" zoomScaleNormal="100" zoomScalePageLayoutView="55" workbookViewId="0">
      <pane ySplit="4" topLeftCell="A5" activePane="bottomLeft" state="frozen"/>
      <selection activeCell="D1" sqref="D1"/>
      <selection pane="bottomLeft" activeCell="D5" sqref="D5"/>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9.5546875" style="31" customWidth="1"/>
    <col min="13" max="13" width="8.44140625" style="32" customWidth="1"/>
    <col min="14" max="14" width="8.33203125" style="32" customWidth="1"/>
    <col min="15" max="15" width="6.109375" style="31" hidden="1" customWidth="1"/>
    <col min="16" max="16" width="8.77734375" style="33" customWidth="1"/>
    <col min="17" max="17" width="4.44140625" style="33" customWidth="1"/>
    <col min="18" max="18" width="5.4414062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str">
        <f ca="1">xlgantt.ProjectName()</f>
        <v>감정 디퓨져 프로젝트</v>
      </c>
      <c r="E1" s="188"/>
      <c r="F1" s="188"/>
      <c r="G1" s="188"/>
      <c r="H1" s="188"/>
      <c r="I1" s="188"/>
      <c r="J1" s="188"/>
      <c r="K1" s="188"/>
      <c r="L1" s="188"/>
      <c r="M1" s="188"/>
      <c r="N1" s="189"/>
      <c r="O1" s="190"/>
      <c r="P1" s="191"/>
      <c r="Q1" s="192"/>
      <c r="R1" s="193"/>
      <c r="S1" s="193"/>
      <c r="T1" s="194"/>
      <c r="U1" s="194"/>
      <c r="W1" s="195"/>
      <c r="X1" s="196"/>
      <c r="Y1" s="197"/>
      <c r="Z1" s="197"/>
      <c r="AA1" s="198"/>
      <c r="AB1" s="199" t="str">
        <f ca="1">xlgantt.ProjectProgressString()</f>
        <v>2018-12-26~2019-06-14 [계획:45.94% 실적:43.02%]</v>
      </c>
      <c r="AC1" s="215" t="s">
        <v>1156</v>
      </c>
      <c r="AD1" s="215"/>
      <c r="AE1" s="215"/>
      <c r="AF1" s="215"/>
      <c r="AG1" s="215"/>
      <c r="AH1" s="215"/>
      <c r="AI1" s="215"/>
      <c r="AJ1" s="215"/>
      <c r="AK1" s="215"/>
      <c r="AL1" s="215"/>
      <c r="AM1" s="215"/>
      <c r="AN1" s="215"/>
      <c r="AO1" s="215"/>
      <c r="AP1" s="215"/>
      <c r="AQ1" s="215"/>
      <c r="AR1" s="215"/>
      <c r="AS1" s="215"/>
      <c r="AT1" s="215"/>
      <c r="AU1" s="215"/>
      <c r="AV1" s="215"/>
      <c r="AW1" s="215"/>
      <c r="AX1" s="215"/>
      <c r="AY1" s="215"/>
      <c r="AZ1" s="215"/>
      <c r="BA1" s="215"/>
      <c r="BB1" s="215"/>
      <c r="BC1" s="215"/>
      <c r="BD1" s="215"/>
      <c r="BE1" s="215"/>
      <c r="BF1" s="215"/>
      <c r="BG1" s="215"/>
      <c r="BH1" s="215"/>
      <c r="BI1" s="215"/>
      <c r="BJ1" s="215"/>
      <c r="BK1" s="215"/>
      <c r="BL1" s="215"/>
      <c r="BM1" s="215"/>
      <c r="BN1" s="215"/>
      <c r="BO1" s="215"/>
      <c r="BP1" s="215"/>
      <c r="BQ1" s="215"/>
      <c r="BR1" s="215"/>
      <c r="BS1" s="215"/>
      <c r="BT1" s="215"/>
      <c r="BU1" s="215"/>
      <c r="BV1" s="215"/>
      <c r="BW1" s="215"/>
      <c r="BX1" s="215"/>
      <c r="BY1" s="215"/>
      <c r="BZ1" s="215"/>
      <c r="CA1" s="215"/>
    </row>
    <row r="2" spans="1:246" s="204" customFormat="1" ht="15" customHeight="1">
      <c r="A2" s="185"/>
      <c r="B2" s="185"/>
      <c r="C2" s="186"/>
      <c r="D2" s="229"/>
      <c r="E2" s="229"/>
      <c r="F2" s="229"/>
      <c r="G2" s="202"/>
      <c r="H2" s="205"/>
      <c r="I2" s="202"/>
      <c r="J2" s="202"/>
      <c r="K2" s="202"/>
      <c r="L2" s="202"/>
      <c r="M2" s="202"/>
      <c r="N2" s="202"/>
      <c r="O2" s="202"/>
      <c r="P2" s="202"/>
      <c r="Q2" s="202"/>
      <c r="R2" s="202"/>
      <c r="S2" s="202"/>
      <c r="T2" s="202"/>
      <c r="U2" s="202"/>
      <c r="V2" s="202"/>
      <c r="W2" s="202"/>
      <c r="X2" s="202"/>
      <c r="Y2" s="202"/>
      <c r="Z2" s="200"/>
      <c r="AA2" s="201"/>
      <c r="AB2" s="202" t="str">
        <f ca="1">xlgantt.CommentOnHeadArea()</f>
        <v>별(*)표시는 필수입력, 주황색열은 자동계산</v>
      </c>
    </row>
    <row r="3" spans="1:246" s="172" customFormat="1" ht="20.100000000000001" customHeight="1">
      <c r="A3" s="217" t="s">
        <v>1076</v>
      </c>
      <c r="B3" s="218" t="s">
        <v>1077</v>
      </c>
      <c r="C3" s="219" t="s">
        <v>1050</v>
      </c>
      <c r="D3" s="220" t="s">
        <v>1066</v>
      </c>
      <c r="E3" s="221" t="s">
        <v>1071</v>
      </c>
      <c r="F3" s="222"/>
      <c r="G3" s="222"/>
      <c r="H3" s="222"/>
      <c r="I3" s="222"/>
      <c r="J3" s="222"/>
      <c r="K3" s="222"/>
      <c r="L3" s="233" t="s">
        <v>1067</v>
      </c>
      <c r="M3" s="233" t="s">
        <v>1073</v>
      </c>
      <c r="N3" s="233" t="s">
        <v>1072</v>
      </c>
      <c r="O3" s="218" t="s">
        <v>995</v>
      </c>
      <c r="P3" s="231" t="s">
        <v>1068</v>
      </c>
      <c r="Q3" s="231" t="s">
        <v>1070</v>
      </c>
      <c r="R3" s="231" t="s">
        <v>1043</v>
      </c>
      <c r="S3" s="231" t="s">
        <v>1051</v>
      </c>
      <c r="T3" s="232" t="s">
        <v>1078</v>
      </c>
      <c r="U3" s="232" t="s">
        <v>1031</v>
      </c>
      <c r="V3" s="234" t="s">
        <v>1079</v>
      </c>
      <c r="W3" s="230" t="s">
        <v>1065</v>
      </c>
      <c r="X3" s="227" t="s">
        <v>1052</v>
      </c>
      <c r="Y3" s="218" t="s">
        <v>1074</v>
      </c>
      <c r="Z3" s="218" t="s">
        <v>1080</v>
      </c>
      <c r="AA3" s="223" t="s">
        <v>873</v>
      </c>
      <c r="AB3" s="225" t="s">
        <v>1032</v>
      </c>
      <c r="AC3" s="228">
        <v>43415</v>
      </c>
      <c r="AD3" s="216"/>
      <c r="AE3" s="216"/>
      <c r="AF3" s="216"/>
      <c r="AG3" s="216"/>
      <c r="AH3" s="216"/>
      <c r="AI3" s="216"/>
      <c r="AJ3" s="216">
        <v>43422</v>
      </c>
      <c r="AK3" s="216"/>
      <c r="AL3" s="216"/>
      <c r="AM3" s="216"/>
      <c r="AN3" s="216"/>
      <c r="AO3" s="216"/>
      <c r="AP3" s="216"/>
      <c r="AQ3" s="216">
        <v>43429</v>
      </c>
      <c r="AR3" s="216"/>
      <c r="AS3" s="216"/>
      <c r="AT3" s="216"/>
      <c r="AU3" s="216"/>
      <c r="AV3" s="216"/>
      <c r="AW3" s="216"/>
      <c r="AX3" s="216">
        <v>43436</v>
      </c>
      <c r="AY3" s="216"/>
      <c r="AZ3" s="216"/>
      <c r="BA3" s="216"/>
      <c r="BB3" s="216"/>
      <c r="BC3" s="216"/>
      <c r="BD3" s="216"/>
      <c r="BE3" s="216">
        <v>43443</v>
      </c>
      <c r="BF3" s="216"/>
      <c r="BG3" s="216"/>
      <c r="BH3" s="216"/>
      <c r="BI3" s="216"/>
      <c r="BJ3" s="216"/>
      <c r="BK3" s="216"/>
      <c r="BL3" s="216">
        <v>43450</v>
      </c>
      <c r="BM3" s="216"/>
      <c r="BN3" s="216"/>
      <c r="BO3" s="216"/>
      <c r="BP3" s="216"/>
      <c r="BQ3" s="216"/>
      <c r="BR3" s="216"/>
      <c r="BS3" s="216">
        <v>43457</v>
      </c>
      <c r="BT3" s="216"/>
      <c r="BU3" s="216"/>
      <c r="BV3" s="216"/>
      <c r="BW3" s="216"/>
      <c r="BX3" s="216"/>
      <c r="BY3" s="216"/>
      <c r="BZ3" s="216">
        <v>43464</v>
      </c>
      <c r="CA3" s="216"/>
      <c r="CB3" s="216"/>
      <c r="CC3" s="216"/>
      <c r="CD3" s="216"/>
      <c r="CE3" s="216"/>
      <c r="CF3" s="216"/>
      <c r="CG3" s="216">
        <v>43471</v>
      </c>
      <c r="CH3" s="216"/>
      <c r="CI3" s="216"/>
      <c r="CJ3" s="216"/>
      <c r="CK3" s="216"/>
      <c r="CL3" s="216"/>
      <c r="CM3" s="216"/>
      <c r="CN3" s="216">
        <v>43478</v>
      </c>
      <c r="CO3" s="216"/>
      <c r="CP3" s="216"/>
      <c r="CQ3" s="216"/>
      <c r="CR3" s="216"/>
      <c r="CS3" s="216"/>
      <c r="CT3" s="216"/>
      <c r="CU3" s="216">
        <v>43485</v>
      </c>
      <c r="CV3" s="216"/>
      <c r="CW3" s="216"/>
      <c r="CX3" s="216"/>
      <c r="CY3" s="216"/>
      <c r="CZ3" s="216"/>
      <c r="DA3" s="216"/>
      <c r="DB3" s="216">
        <v>43492</v>
      </c>
      <c r="DC3" s="216"/>
      <c r="DD3" s="216"/>
      <c r="DE3" s="216"/>
      <c r="DF3" s="216"/>
      <c r="DG3" s="216"/>
      <c r="DH3" s="216"/>
      <c r="DI3" s="216">
        <v>43499</v>
      </c>
      <c r="DJ3" s="216"/>
      <c r="DK3" s="216"/>
      <c r="DL3" s="216"/>
      <c r="DM3" s="216"/>
      <c r="DN3" s="216"/>
      <c r="DO3" s="216"/>
      <c r="DP3" s="216">
        <v>43506</v>
      </c>
      <c r="DQ3" s="216"/>
      <c r="DR3" s="216"/>
      <c r="DS3" s="216"/>
      <c r="DT3" s="216"/>
      <c r="DU3" s="216"/>
      <c r="DV3" s="216"/>
      <c r="DW3" s="216">
        <v>43513</v>
      </c>
      <c r="DX3" s="216"/>
      <c r="DY3" s="216"/>
      <c r="DZ3" s="216"/>
      <c r="EA3" s="216"/>
      <c r="EB3" s="216"/>
      <c r="EC3" s="216"/>
      <c r="ED3" s="216">
        <v>43520</v>
      </c>
      <c r="EE3" s="216"/>
      <c r="EF3" s="216"/>
      <c r="EG3" s="216"/>
      <c r="EH3" s="216"/>
      <c r="EI3" s="216"/>
      <c r="EJ3" s="216"/>
      <c r="EK3" s="216">
        <v>43527</v>
      </c>
      <c r="EL3" s="216"/>
      <c r="EM3" s="216"/>
      <c r="EN3" s="216"/>
      <c r="EO3" s="216"/>
      <c r="EP3" s="216"/>
      <c r="EQ3" s="216"/>
      <c r="ER3" s="216">
        <v>43534</v>
      </c>
      <c r="ES3" s="216"/>
      <c r="ET3" s="216"/>
      <c r="EU3" s="216"/>
      <c r="EV3" s="216"/>
      <c r="EW3" s="216"/>
      <c r="EX3" s="216"/>
      <c r="EY3" s="216">
        <v>43541</v>
      </c>
      <c r="EZ3" s="216"/>
      <c r="FA3" s="216"/>
      <c r="FB3" s="216"/>
      <c r="FC3" s="216"/>
      <c r="FD3" s="216"/>
      <c r="FE3" s="216"/>
      <c r="FF3" s="216">
        <v>43548</v>
      </c>
      <c r="FG3" s="216"/>
      <c r="FH3" s="216"/>
      <c r="FI3" s="216"/>
      <c r="FJ3" s="216"/>
      <c r="FK3" s="216"/>
      <c r="FL3" s="216"/>
      <c r="FM3" s="216">
        <v>43555</v>
      </c>
      <c r="FN3" s="216"/>
      <c r="FO3" s="216"/>
      <c r="FP3" s="216"/>
      <c r="FQ3" s="216"/>
      <c r="FR3" s="216"/>
      <c r="FS3" s="216"/>
      <c r="FT3" s="216">
        <v>43562</v>
      </c>
      <c r="FU3" s="216"/>
      <c r="FV3" s="216"/>
      <c r="FW3" s="216"/>
      <c r="FX3" s="216"/>
      <c r="FY3" s="216"/>
      <c r="FZ3" s="216"/>
      <c r="GA3" s="216">
        <v>43569</v>
      </c>
      <c r="GB3" s="216"/>
      <c r="GC3" s="216"/>
      <c r="GD3" s="216"/>
      <c r="GE3" s="216"/>
      <c r="GF3" s="216"/>
      <c r="GG3" s="216"/>
      <c r="GH3" s="216">
        <v>43576</v>
      </c>
      <c r="GI3" s="216"/>
      <c r="GJ3" s="216"/>
      <c r="GK3" s="216"/>
      <c r="GL3" s="216"/>
      <c r="GM3" s="216"/>
      <c r="GN3" s="216"/>
      <c r="GO3" s="216">
        <v>43583</v>
      </c>
      <c r="GP3" s="216"/>
      <c r="GQ3" s="216"/>
      <c r="GR3" s="216"/>
      <c r="GS3" s="216"/>
      <c r="GT3" s="216"/>
      <c r="GU3" s="216"/>
      <c r="GV3" s="216">
        <v>43590</v>
      </c>
      <c r="GW3" s="216"/>
      <c r="GX3" s="216"/>
      <c r="GY3" s="216"/>
      <c r="GZ3" s="216"/>
      <c r="HA3" s="216"/>
      <c r="HB3" s="216"/>
      <c r="HC3" s="216">
        <v>43597</v>
      </c>
      <c r="HD3" s="216"/>
      <c r="HE3" s="216"/>
      <c r="HF3" s="216"/>
      <c r="HG3" s="216"/>
      <c r="HH3" s="216"/>
      <c r="HI3" s="216"/>
      <c r="HJ3" s="216">
        <v>43604</v>
      </c>
      <c r="HK3" s="216"/>
      <c r="HL3" s="216"/>
      <c r="HM3" s="216"/>
      <c r="HN3" s="216"/>
      <c r="HO3" s="216"/>
      <c r="HP3" s="216"/>
      <c r="HQ3" s="216">
        <v>43611</v>
      </c>
      <c r="HR3" s="216"/>
      <c r="HS3" s="216"/>
      <c r="HT3" s="216"/>
      <c r="HU3" s="216"/>
      <c r="HV3" s="216"/>
      <c r="HW3" s="216"/>
      <c r="HX3" s="216">
        <v>43618</v>
      </c>
      <c r="HY3" s="216"/>
      <c r="HZ3" s="216"/>
      <c r="IA3" s="216"/>
      <c r="IB3" s="216"/>
      <c r="IC3" s="216"/>
      <c r="ID3" s="216"/>
      <c r="IE3" s="216">
        <v>43625</v>
      </c>
      <c r="IF3" s="216"/>
      <c r="IG3" s="216"/>
      <c r="IH3" s="216"/>
      <c r="II3" s="216"/>
      <c r="IJ3" s="216"/>
      <c r="IK3" s="235"/>
    </row>
    <row r="4" spans="1:246" s="134" customFormat="1" ht="5.0999999999999996" customHeight="1">
      <c r="A4" s="217"/>
      <c r="B4" s="218"/>
      <c r="C4" s="219"/>
      <c r="D4" s="220"/>
      <c r="E4" s="221"/>
      <c r="F4" s="222"/>
      <c r="G4" s="222"/>
      <c r="H4" s="222"/>
      <c r="I4" s="222"/>
      <c r="J4" s="222"/>
      <c r="K4" s="222"/>
      <c r="L4" s="233"/>
      <c r="M4" s="233"/>
      <c r="N4" s="233"/>
      <c r="O4" s="218"/>
      <c r="P4" s="231"/>
      <c r="Q4" s="231"/>
      <c r="R4" s="231"/>
      <c r="S4" s="231"/>
      <c r="T4" s="233"/>
      <c r="U4" s="233"/>
      <c r="V4" s="234"/>
      <c r="W4" s="230"/>
      <c r="X4" s="227"/>
      <c r="Y4" s="218"/>
      <c r="Z4" s="218"/>
      <c r="AA4" s="224"/>
      <c r="AB4" s="226"/>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f ca="1">IF(M5="","0",(N5-M5+1)-COUNTIFS(INDIRECT(getCalendarRange(O5)),"&gt;=" &amp; M5,INDIRECT(getCalendarRange(O5)),"&lt;=" &amp; N5))</f>
        <v>171</v>
      </c>
      <c r="S5" s="150">
        <f ca="1">IF(M5&gt;TODAY(),0,IF(N5&lt;TODAY(),R5,(TODAY()-M5+1)-COUNTIFS(INDIRECT(getCalendarRange(O5)),"&gt;=" &amp; M5,INDIRECT(getCalendarRange(O5)),"&lt;=" &amp; TODAY())))</f>
        <v>83</v>
      </c>
      <c r="T5" s="126"/>
      <c r="U5" s="126"/>
      <c r="V5" s="151">
        <v>0</v>
      </c>
      <c r="W5" s="152" t="str">
        <f ca="1">IF(U5="","0",IF(T5="","0",(U5-T5+1)-COUNTIFS(INDIRECT(getCalendarRange(O5)),"&gt;=" &amp; T5,INDIRECT(getCalendarRange(O5)),"&lt;=" &amp; U5)))</f>
        <v>0</v>
      </c>
      <c r="X5" s="153"/>
      <c r="Y5" s="148"/>
      <c r="Z5" s="154"/>
      <c r="AA5" s="155">
        <v>0.59090909090909094</v>
      </c>
      <c r="AB5" s="156">
        <v>0.15909090909090909</v>
      </c>
      <c r="AC5" s="212"/>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7" t="str">
        <f>TEXT(AB5,"#0.00%") &amp; " "</f>
        <v xml:space="preserve">15.91% </v>
      </c>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f ca="1">IF(M6="","0",(N6-M6+1)-COUNTIFS(INDIRECT(getCalendarRange(O6)),"&gt;=" &amp; M6,INDIRECT(getCalendarRange(O6)),"&lt;=" &amp; N6))</f>
        <v>21</v>
      </c>
      <c r="S6" s="150">
        <f ca="1">IF(M6&gt;TODAY(),0,IF(N6&lt;TODAY(),R6,(TODAY()-M6+1)-COUNTIFS(INDIRECT(getCalendarRange(O6)),"&gt;=" &amp; M6,INDIRECT(getCalendarRange(O6)),"&lt;=" &amp; TODAY())))</f>
        <v>21</v>
      </c>
      <c r="T6" s="126"/>
      <c r="U6" s="126"/>
      <c r="V6" s="151">
        <v>0</v>
      </c>
      <c r="W6" s="152" t="str">
        <f ca="1">IF(U6="","0",IF(T6="","0",(U6-T6+1)-COUNTIFS(INDIRECT(getCalendarRange(O6)),"&gt;=" &amp; T6,INDIRECT(getCalendarRange(O6)),"&lt;=" &amp; U6)))</f>
        <v>0</v>
      </c>
      <c r="X6" s="153"/>
      <c r="Y6" s="148"/>
      <c r="Z6" s="154"/>
      <c r="AA6" s="155">
        <v>1</v>
      </c>
      <c r="AB6" s="156">
        <v>0.17391304347826086</v>
      </c>
      <c r="AC6" s="212"/>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c r="BW6" s="208"/>
      <c r="BX6" s="208"/>
      <c r="BY6" s="208"/>
      <c r="BZ6" s="207" t="str">
        <f>TEXT(AB6,"#0.00%") &amp; " "</f>
        <v xml:space="preserve">17.39% </v>
      </c>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f ca="1">IF(M7="","0",(N7-M7+1)-COUNTIFS(INDIRECT(getCalendarRange(O7)),"&gt;=" &amp; M7,INDIRECT(getCalendarRange(O7)),"&lt;=" &amp; N7))</f>
        <v>2</v>
      </c>
      <c r="S7" s="150">
        <f ca="1">IF(M7&gt;TODAY(),0,IF(N7&lt;TODAY(),R7,(TODAY()-M7+1)-COUNTIFS(INDIRECT(getCalendarRange(O7)),"&gt;=" &amp; M7,INDIRECT(getCalendarRange(O7)),"&lt;=" &amp; TODAY())))</f>
        <v>2</v>
      </c>
      <c r="T7" s="126">
        <v>42675</v>
      </c>
      <c r="U7" s="126">
        <v>42676</v>
      </c>
      <c r="V7" s="151">
        <v>2</v>
      </c>
      <c r="W7" s="152">
        <f ca="1">IF(U7="","0",IF(T7="","0",(U7-T7+1)-COUNTIFS(INDIRECT(getCalendarRange(O7)),"&gt;=" &amp; T7,INDIRECT(getCalendarRange(O7)),"&lt;=" &amp; U7)))</f>
        <v>2</v>
      </c>
      <c r="X7" s="153">
        <v>1</v>
      </c>
      <c r="Y7" s="183" t="s">
        <v>1083</v>
      </c>
      <c r="Z7" s="154"/>
      <c r="AA7" s="155">
        <v>1</v>
      </c>
      <c r="AB7" s="156">
        <v>1</v>
      </c>
      <c r="AC7" s="212"/>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c r="BW7" s="208"/>
      <c r="BX7" s="207" t="str">
        <f>TEXT(AB7,"#0.00%") &amp; " "</f>
        <v xml:space="preserve">100.00% </v>
      </c>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f ca="1">IF(M8="","0",(N8-M8+1)-COUNTIFS(INDIRECT(getCalendarRange(O8)),"&gt;=" &amp; M8,INDIRECT(getCalendarRange(O8)),"&lt;=" &amp; N8))</f>
        <v>20</v>
      </c>
      <c r="S8" s="150">
        <f ca="1">IF(M8&gt;TODAY(),0,IF(N8&lt;TODAY(),R8,(TODAY()-M8+1)-COUNTIFS(INDIRECT(getCalendarRange(O8)),"&gt;=" &amp; M8,INDIRECT(getCalendarRange(O8)),"&lt;=" &amp; TODAY())))</f>
        <v>20</v>
      </c>
      <c r="T8" s="126"/>
      <c r="U8" s="126"/>
      <c r="V8" s="151">
        <v>0</v>
      </c>
      <c r="W8" s="152" t="str">
        <f ca="1">IF(U8="","0",IF(T8="","0",(U8-T8+1)-COUNTIFS(INDIRECT(getCalendarRange(O8)),"&gt;=" &amp; T8,INDIRECT(getCalendarRange(O8)),"&lt;=" &amp; U8)))</f>
        <v>0</v>
      </c>
      <c r="X8" s="153"/>
      <c r="Y8" s="183" t="s">
        <v>1084</v>
      </c>
      <c r="Z8" s="154"/>
      <c r="AA8" s="155">
        <v>1</v>
      </c>
      <c r="AB8" s="156">
        <v>9.5238095238095233E-2</v>
      </c>
      <c r="AC8" s="212"/>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c r="BX8" s="208"/>
      <c r="BY8" s="207" t="str">
        <f>TEXT(AB8,"#0.00%") &amp; " "</f>
        <v xml:space="preserve">9.52% </v>
      </c>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f ca="1">IF(M9="","0",(N9-M9+1)-COUNTIFS(INDIRECT(getCalendarRange(O9)),"&gt;=" &amp; M9,INDIRECT(getCalendarRange(O9)),"&lt;=" &amp; N9))</f>
        <v>19</v>
      </c>
      <c r="S9" s="150">
        <f ca="1">IF(M9&gt;TODAY(),0,IF(N9&lt;TODAY(),R9,(TODAY()-M9+1)-COUNTIFS(INDIRECT(getCalendarRange(O9)),"&gt;=" &amp; M9,INDIRECT(getCalendarRange(O9)),"&lt;=" &amp; TODAY())))</f>
        <v>19</v>
      </c>
      <c r="T9" s="126">
        <v>42679</v>
      </c>
      <c r="U9" s="126">
        <v>42685</v>
      </c>
      <c r="V9" s="151">
        <v>7</v>
      </c>
      <c r="W9" s="152">
        <f ca="1">IF(U9="","0",IF(T9="","0",(U9-T9+1)-COUNTIFS(INDIRECT(getCalendarRange(O9)),"&gt;=" &amp; T9,INDIRECT(getCalendarRange(O9)),"&lt;=" &amp; U9)))</f>
        <v>7</v>
      </c>
      <c r="X9" s="153">
        <v>1</v>
      </c>
      <c r="Y9" s="183" t="s">
        <v>1084</v>
      </c>
      <c r="Z9" s="154" t="s">
        <v>923</v>
      </c>
      <c r="AA9" s="155">
        <v>1</v>
      </c>
      <c r="AB9" s="156">
        <v>0</v>
      </c>
      <c r="AC9" s="212"/>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f ca="1">IF(M10="","0",(N10-M10+1)-COUNTIFS(INDIRECT(getCalendarRange(O10)),"&gt;=" &amp; M10,INDIRECT(getCalendarRange(O10)),"&lt;=" &amp; N10))</f>
        <v>2</v>
      </c>
      <c r="S10" s="150">
        <f ca="1">IF(M10&gt;TODAY(),0,IF(N10&lt;TODAY(),R10,(TODAY()-M10+1)-COUNTIFS(INDIRECT(getCalendarRange(O10)),"&gt;=" &amp; M10,INDIRECT(getCalendarRange(O10)),"&lt;=" &amp; TODAY())))</f>
        <v>2</v>
      </c>
      <c r="T10" s="126"/>
      <c r="U10" s="126"/>
      <c r="V10" s="151"/>
      <c r="W10" s="152" t="str">
        <f ca="1">IF(U10="","0",IF(T10="","0",(U10-T10+1)-COUNTIFS(INDIRECT(getCalendarRange(O10)),"&gt;=" &amp; T10,INDIRECT(getCalendarRange(O10)),"&lt;=" &amp; U10)))</f>
        <v>0</v>
      </c>
      <c r="X10" s="153">
        <v>1</v>
      </c>
      <c r="Y10" s="183" t="s">
        <v>1083</v>
      </c>
      <c r="Z10" s="154"/>
      <c r="AA10" s="155">
        <v>1</v>
      </c>
      <c r="AB10" s="156">
        <v>1</v>
      </c>
      <c r="AC10" s="212"/>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c r="CP10" s="208"/>
      <c r="CQ10" s="207" t="str">
        <f>TEXT(AB10,"#0.00%") &amp; " "</f>
        <v xml:space="preserve">100.00% </v>
      </c>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f ca="1">IF(M11="","0",(N11-M11+1)-COUNTIFS(INDIRECT(getCalendarRange(O11)),"&gt;=" &amp; M11,INDIRECT(getCalendarRange(O11)),"&lt;=" &amp; N11))</f>
        <v>94</v>
      </c>
      <c r="S11" s="150">
        <f ca="1">IF(M11&gt;TODAY(),0,IF(N11&lt;TODAY(),R11,(TODAY()-M11+1)-COUNTIFS(INDIRECT(getCalendarRange(O11)),"&gt;=" &amp; M11,INDIRECT(getCalendarRange(O11)),"&lt;=" &amp; TODAY())))</f>
        <v>27</v>
      </c>
      <c r="T11" s="126"/>
      <c r="U11" s="126"/>
      <c r="V11" s="151">
        <v>0</v>
      </c>
      <c r="W11" s="152" t="str">
        <f ca="1">IF(U11="","0",IF(T11="","0",(U11-T11+1)-COUNTIFS(INDIRECT(getCalendarRange(O11)),"&gt;=" &amp; T11,INDIRECT(getCalendarRange(O11)),"&lt;=" &amp; U11)))</f>
        <v>0</v>
      </c>
      <c r="X11" s="153"/>
      <c r="Y11" s="148"/>
      <c r="Z11" s="154"/>
      <c r="AA11" s="155">
        <v>0.25</v>
      </c>
      <c r="AB11" s="156">
        <v>0.25</v>
      </c>
      <c r="AC11" s="212"/>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7" t="str">
        <f>TEXT(AB11,"#0.00%") &amp; " "</f>
        <v xml:space="preserve">25.00% </v>
      </c>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f ca="1">IF(M12="","0",(N12-M12+1)-COUNTIFS(INDIRECT(getCalendarRange(O12)),"&gt;=" &amp; M12,INDIRECT(getCalendarRange(O12)),"&lt;=" &amp; N12))</f>
        <v>3</v>
      </c>
      <c r="S12" s="150">
        <f ca="1">IF(M12&gt;TODAY(),0,IF(N12&lt;TODAY(),R12,(TODAY()-M12+1)-COUNTIFS(INDIRECT(getCalendarRange(O12)),"&gt;=" &amp; M12,INDIRECT(getCalendarRange(O12)),"&lt;=" &amp; TODAY())))</f>
        <v>3</v>
      </c>
      <c r="T12" s="206"/>
      <c r="U12" s="206"/>
      <c r="V12" s="151"/>
      <c r="W12" s="152" t="str">
        <f ca="1">IF(U12="","0",IF(T12="","0",(U12-T12+1)-COUNTIFS(INDIRECT(getCalendarRange(O12)),"&gt;=" &amp; T12,INDIRECT(getCalendarRange(O12)),"&lt;=" &amp; U12)))</f>
        <v>0</v>
      </c>
      <c r="X12" s="153">
        <v>1</v>
      </c>
      <c r="Y12" s="183" t="s">
        <v>1084</v>
      </c>
      <c r="Z12" s="154"/>
      <c r="AA12" s="155">
        <v>1</v>
      </c>
      <c r="AB12" s="156">
        <v>1</v>
      </c>
      <c r="AC12" s="212"/>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c r="EA12" s="208"/>
      <c r="EB12" s="208"/>
      <c r="EC12" s="207" t="str">
        <f>TEXT(AB12,"#0.00%") &amp; " "</f>
        <v xml:space="preserve">100.00% </v>
      </c>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f ca="1">IF(M13="","0",(N13-M13+1)-COUNTIFS(INDIRECT(getCalendarRange(O13)),"&gt;=" &amp; M13,INDIRECT(getCalendarRange(O13)),"&lt;=" &amp; N13))</f>
        <v>3</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12"/>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1149</v>
      </c>
      <c r="H14" s="148"/>
      <c r="I14" s="148"/>
      <c r="J14" s="148"/>
      <c r="K14" s="148"/>
      <c r="L14" s="148"/>
      <c r="M14" s="126">
        <v>43607</v>
      </c>
      <c r="N14" s="126">
        <v>43609</v>
      </c>
      <c r="O14" s="148"/>
      <c r="P14" s="149">
        <v>3</v>
      </c>
      <c r="Q14" s="149">
        <v>0</v>
      </c>
      <c r="R14" s="150">
        <f ca="1">IF(M14="","0",(N14-M14+1)-COUNTIFS(INDIRECT(getCalendarRange(O14)),"&gt;=" &amp; M14,INDIRECT(getCalendarRange(O14)),"&lt;=" &amp; N14))</f>
        <v>3</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12"/>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1150</v>
      </c>
      <c r="E15" s="148"/>
      <c r="F15" s="148"/>
      <c r="G15" s="183" t="s">
        <v>926</v>
      </c>
      <c r="H15" s="148"/>
      <c r="I15" s="148"/>
      <c r="J15" s="148"/>
      <c r="K15" s="148"/>
      <c r="L15" s="148"/>
      <c r="M15" s="126">
        <v>43575</v>
      </c>
      <c r="N15" s="126">
        <v>43577</v>
      </c>
      <c r="O15" s="148"/>
      <c r="P15" s="149">
        <v>3</v>
      </c>
      <c r="Q15" s="149">
        <v>0</v>
      </c>
      <c r="R15" s="150">
        <f ca="1">IF(M15="","0",(N15-M15+1)-COUNTIFS(INDIRECT(getCalendarRange(O15)),"&gt;=" &amp; M15,INDIRECT(getCalendarRange(O15)),"&lt;=" &amp; N15))</f>
        <v>3</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12"/>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12"/>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f ca="1">IF(M17="","0",(N17-M17+1)-COUNTIFS(INDIRECT(getCalendarRange(O17)),"&gt;=" &amp; M17,INDIRECT(getCalendarRange(O17)),"&lt;=" &amp; N17))</f>
        <v>8</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12"/>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f ca="1">IF(M18="","0",(N18-M18+1)-COUNTIFS(INDIRECT(getCalendarRange(O18)),"&gt;=" &amp; M18,INDIRECT(getCalendarRange(O18)),"&lt;=" &amp; N18))</f>
        <v>7</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12"/>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f ca="1">IF(M19="","0",(N19-M19+1)-COUNTIFS(INDIRECT(getCalendarRange(O19)),"&gt;=" &amp; M19,INDIRECT(getCalendarRange(O19)),"&lt;=" &amp; N19))</f>
        <v>1</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12"/>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f ca="1">IF(M20="","0",(N20-M20+1)-COUNTIFS(INDIRECT(getCalendarRange(O20)),"&gt;=" &amp; M20,INDIRECT(getCalendarRange(O20)),"&lt;=" &amp; N20))</f>
        <v>1</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12"/>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929</v>
      </c>
      <c r="Q21" s="149">
        <v>421</v>
      </c>
      <c r="R21" s="150">
        <f ca="1">IF(M21="","0",(N21-M21+1)-COUNTIFS(INDIRECT(getCalendarRange(O21)),"&gt;=" &amp; M21,INDIRECT(getCalendarRange(O21)),"&lt;=" &amp; N21))</f>
        <v>170</v>
      </c>
      <c r="S21" s="150">
        <f ca="1">IF(M21&gt;TODAY(),0,IF(N21&lt;TODAY(),R21,(TODAY()-M21+1)-COUNTIFS(INDIRECT(getCalendarRange(O21)),"&gt;=" &amp; M21,INDIRECT(getCalendarRange(O21)),"&lt;=" &amp; TODAY())))</f>
        <v>82</v>
      </c>
      <c r="T21" s="126"/>
      <c r="U21" s="126"/>
      <c r="V21" s="151">
        <v>0</v>
      </c>
      <c r="W21" s="152" t="str">
        <f ca="1">IF(U21="","0",IF(T21="","0",(U21-T21+1)-COUNTIFS(INDIRECT(getCalendarRange(O21)),"&gt;=" &amp; T21,INDIRECT(getCalendarRange(O21)),"&lt;=" &amp; U21)))</f>
        <v>0</v>
      </c>
      <c r="X21" s="153"/>
      <c r="Y21" s="148"/>
      <c r="Z21" s="154"/>
      <c r="AA21" s="155">
        <v>0.45317545748116256</v>
      </c>
      <c r="AB21" s="156">
        <v>0.44305705059203448</v>
      </c>
      <c r="AC21" s="212"/>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7"/>
      <c r="CW21" s="208"/>
      <c r="CX21" s="208"/>
      <c r="CY21" s="208"/>
      <c r="CZ21" s="208"/>
      <c r="DA21" s="208"/>
      <c r="DB21" s="208"/>
      <c r="DC21" s="208"/>
      <c r="DD21" s="208"/>
      <c r="DE21" s="208"/>
      <c r="DF21" s="208"/>
      <c r="DG21" s="208"/>
      <c r="DH21" s="207"/>
      <c r="DI21" s="208"/>
      <c r="DJ21" s="208"/>
      <c r="DK21" s="208"/>
      <c r="DL21" s="208"/>
      <c r="DM21" s="208"/>
      <c r="DN21" s="208"/>
      <c r="DO21" s="208"/>
      <c r="DP21" s="208"/>
      <c r="DQ21" s="208"/>
      <c r="DR21" s="208"/>
      <c r="DS21" s="208"/>
      <c r="DT21" s="208"/>
      <c r="DU21" s="208"/>
      <c r="DV21" s="208"/>
      <c r="DW21" s="208"/>
      <c r="DX21" s="208"/>
      <c r="DY21" s="208"/>
      <c r="DZ21" s="207"/>
      <c r="EA21" s="208"/>
      <c r="EB21" s="208"/>
      <c r="EC21" s="208"/>
      <c r="ED21" s="208"/>
      <c r="EE21" s="208"/>
      <c r="EF21" s="208"/>
      <c r="EG21" s="208"/>
      <c r="EH21" s="208"/>
      <c r="EI21" s="208"/>
      <c r="EJ21" s="208"/>
      <c r="EK21" s="208"/>
      <c r="EL21" s="208"/>
      <c r="EM21" s="208"/>
      <c r="EN21" s="208"/>
      <c r="EO21" s="208"/>
      <c r="EP21" s="208"/>
      <c r="EQ21" s="208"/>
      <c r="ER21" s="208"/>
      <c r="ES21" s="208"/>
      <c r="ET21" s="207" t="str">
        <f>TEXT(AB21,"#0.00%") &amp; " "</f>
        <v xml:space="preserve">44.31% </v>
      </c>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f ca="1">IF(M22="","0",(N22-M22+1)-COUNTIFS(INDIRECT(getCalendarRange(O22)),"&gt;=" &amp; M22,INDIRECT(getCalendarRange(O22)),"&lt;=" &amp; N22))</f>
        <v>20</v>
      </c>
      <c r="S22" s="150">
        <f ca="1">IF(M22&gt;TODAY(),0,IF(N22&lt;TODAY(),R22,(TODAY()-M22+1)-COUNTIFS(INDIRECT(getCalendarRange(O22)),"&gt;=" &amp; M22,INDIRECT(getCalendarRange(O22)),"&lt;=" &amp; TODAY())))</f>
        <v>20</v>
      </c>
      <c r="T22" s="126"/>
      <c r="U22" s="126"/>
      <c r="V22" s="151">
        <v>0</v>
      </c>
      <c r="W22" s="152" t="str">
        <f ca="1">IF(U22="","0",IF(T22="","0",(U22-T22+1)-COUNTIFS(INDIRECT(getCalendarRange(O22)),"&gt;=" &amp; T22,INDIRECT(getCalendarRange(O22)),"&lt;=" &amp; U22)))</f>
        <v>0</v>
      </c>
      <c r="X22" s="153"/>
      <c r="Y22" s="148"/>
      <c r="Z22" s="154"/>
      <c r="AA22" s="155">
        <v>1</v>
      </c>
      <c r="AB22" s="156">
        <v>0.83333333333333337</v>
      </c>
      <c r="AC22" s="212"/>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c r="BX22" s="208"/>
      <c r="BY22" s="208"/>
      <c r="BZ22" s="208"/>
      <c r="CA22" s="208"/>
      <c r="CB22" s="208"/>
      <c r="CC22" s="208"/>
      <c r="CD22" s="208"/>
      <c r="CE22" s="208"/>
      <c r="CF22" s="208"/>
      <c r="CG22" s="208"/>
      <c r="CH22" s="208"/>
      <c r="CI22" s="208"/>
      <c r="CJ22" s="208"/>
      <c r="CK22" s="208"/>
      <c r="CL22" s="208"/>
      <c r="CM22" s="208"/>
      <c r="CN22" s="207" t="str">
        <f>TEXT(AB22,"#0.00%") &amp; " "</f>
        <v xml:space="preserve">83.33% </v>
      </c>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f ca="1">IF(M23="","0",(N23-M23+1)-COUNTIFS(INDIRECT(getCalendarRange(O23)),"&gt;=" &amp; M23,INDIRECT(getCalendarRange(O23)),"&lt;=" &amp; N23))</f>
        <v>20</v>
      </c>
      <c r="S23" s="150">
        <f ca="1">IF(M23&gt;TODAY(),0,IF(N23&lt;TODAY(),R23,(TODAY()-M23+1)-COUNTIFS(INDIRECT(getCalendarRange(O23)),"&gt;=" &amp; M23,INDIRECT(getCalendarRange(O23)),"&lt;=" &amp; TODAY())))</f>
        <v>20</v>
      </c>
      <c r="T23" s="126">
        <v>42679</v>
      </c>
      <c r="U23" s="126"/>
      <c r="V23" s="151">
        <v>-42678</v>
      </c>
      <c r="W23" s="152" t="str">
        <f ca="1">IF(U23="","0",IF(T23="","0",(U23-T23+1)-COUNTIFS(INDIRECT(getCalendarRange(O23)),"&gt;=" &amp; T23,INDIRECT(getCalendarRange(O23)),"&lt;=" &amp; U23)))</f>
        <v>0</v>
      </c>
      <c r="X23" s="153">
        <v>1</v>
      </c>
      <c r="Y23" s="184" t="s">
        <v>1103</v>
      </c>
      <c r="Z23" s="154"/>
      <c r="AA23" s="155">
        <v>1</v>
      </c>
      <c r="AB23" s="156">
        <v>1</v>
      </c>
      <c r="AC23" s="212"/>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c r="BX23" s="208"/>
      <c r="BY23" s="208"/>
      <c r="BZ23" s="208"/>
      <c r="CA23" s="208"/>
      <c r="CB23" s="208"/>
      <c r="CC23" s="208"/>
      <c r="CD23" s="208"/>
      <c r="CE23" s="208"/>
      <c r="CF23" s="208"/>
      <c r="CG23" s="208"/>
      <c r="CH23" s="208"/>
      <c r="CI23" s="208"/>
      <c r="CJ23" s="208"/>
      <c r="CK23" s="208"/>
      <c r="CL23" s="208"/>
      <c r="CM23" s="208"/>
      <c r="CN23" s="208"/>
      <c r="CO23" s="208"/>
      <c r="CP23" s="208"/>
      <c r="CQ23" s="207" t="str">
        <f>TEXT(AB23,"#0.00%") &amp; " "</f>
        <v xml:space="preserve">100.00% </v>
      </c>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1139</v>
      </c>
      <c r="H24" s="148"/>
      <c r="I24" s="148"/>
      <c r="J24" s="148"/>
      <c r="K24" s="148"/>
      <c r="L24" s="148"/>
      <c r="M24" s="126">
        <v>43461</v>
      </c>
      <c r="N24" s="126">
        <v>43480</v>
      </c>
      <c r="O24" s="148"/>
      <c r="P24" s="149">
        <v>20</v>
      </c>
      <c r="Q24" s="149">
        <v>20</v>
      </c>
      <c r="R24" s="150">
        <f ca="1">IF(M24="","0",(N24-M24+1)-COUNTIFS(INDIRECT(getCalendarRange(O24)),"&gt;=" &amp; M24,INDIRECT(getCalendarRange(O24)),"&lt;=" &amp; N24))</f>
        <v>20</v>
      </c>
      <c r="S24" s="150">
        <f ca="1">IF(M24&gt;TODAY(),0,IF(N24&lt;TODAY(),R24,(TODAY()-M24+1)-COUNTIFS(INDIRECT(getCalendarRange(O24)),"&gt;=" &amp; M24,INDIRECT(getCalendarRange(O24)),"&lt;=" &amp; TODAY())))</f>
        <v>20</v>
      </c>
      <c r="T24" s="126"/>
      <c r="U24" s="126"/>
      <c r="V24" s="151"/>
      <c r="W24" s="152" t="str">
        <f ca="1">IF(U24="","0",IF(T24="","0",(U24-T24+1)-COUNTIFS(INDIRECT(getCalendarRange(O24)),"&gt;=" &amp; T24,INDIRECT(getCalendarRange(O24)),"&lt;=" &amp; U24)))</f>
        <v>0</v>
      </c>
      <c r="X24" s="153">
        <v>1</v>
      </c>
      <c r="Y24" s="184" t="s">
        <v>1103</v>
      </c>
      <c r="Z24" s="154"/>
      <c r="AA24" s="155">
        <v>1</v>
      </c>
      <c r="AB24" s="156">
        <v>0.75</v>
      </c>
      <c r="AC24" s="212"/>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c r="BX24" s="208"/>
      <c r="BY24" s="208"/>
      <c r="BZ24" s="208"/>
      <c r="CA24" s="208"/>
      <c r="CB24" s="208"/>
      <c r="CC24" s="208"/>
      <c r="CD24" s="208"/>
      <c r="CE24" s="208"/>
      <c r="CF24" s="208"/>
      <c r="CG24" s="208"/>
      <c r="CH24" s="208"/>
      <c r="CI24" s="208"/>
      <c r="CJ24" s="208"/>
      <c r="CK24" s="208"/>
      <c r="CL24" s="207" t="str">
        <f>TEXT(AB24,"#0.00%") &amp; " "</f>
        <v xml:space="preserve">75.00% </v>
      </c>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1137</v>
      </c>
      <c r="E25" s="148"/>
      <c r="F25" s="148"/>
      <c r="G25" s="183" t="s">
        <v>1138</v>
      </c>
      <c r="H25" s="148"/>
      <c r="I25" s="148"/>
      <c r="J25" s="148"/>
      <c r="K25" s="148"/>
      <c r="L25" s="148"/>
      <c r="M25" s="126">
        <v>43461</v>
      </c>
      <c r="N25" s="126">
        <v>43480</v>
      </c>
      <c r="O25" s="148"/>
      <c r="P25" s="149">
        <v>20</v>
      </c>
      <c r="Q25" s="149">
        <v>20</v>
      </c>
      <c r="R25" s="150">
        <f ca="1">IF(M25="","0",(N25-M25+1)-COUNTIFS(INDIRECT(getCalendarRange(O25)),"&gt;=" &amp; M25,INDIRECT(getCalendarRange(O25)),"&lt;=" &amp; N25))</f>
        <v>20</v>
      </c>
      <c r="S25" s="150">
        <f ca="1">IF(M25&gt;TODAY(),0,IF(N25&lt;TODAY(),R25,(TODAY()-M25+1)-COUNTIFS(INDIRECT(getCalendarRange(O25)),"&gt;=" &amp; M25,INDIRECT(getCalendarRange(O25)),"&lt;=" &amp; TODAY())))</f>
        <v>20</v>
      </c>
      <c r="T25" s="126"/>
      <c r="U25" s="126"/>
      <c r="V25" s="151"/>
      <c r="W25" s="152" t="str">
        <f ca="1">IF(U25="","0",IF(T25="","0",(U25-T25+1)-COUNTIFS(INDIRECT(getCalendarRange(O25)),"&gt;=" &amp; T25,INDIRECT(getCalendarRange(O25)),"&lt;=" &amp; U25)))</f>
        <v>0</v>
      </c>
      <c r="X25" s="153">
        <v>1</v>
      </c>
      <c r="Y25" s="184" t="s">
        <v>1103</v>
      </c>
      <c r="Z25" s="154"/>
      <c r="AA25" s="155">
        <v>1</v>
      </c>
      <c r="AB25" s="156">
        <v>0.75</v>
      </c>
      <c r="AC25" s="212"/>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c r="BX25" s="208"/>
      <c r="BY25" s="208"/>
      <c r="BZ25" s="208"/>
      <c r="CA25" s="208"/>
      <c r="CB25" s="208"/>
      <c r="CC25" s="208"/>
      <c r="CD25" s="208"/>
      <c r="CE25" s="208"/>
      <c r="CF25" s="208"/>
      <c r="CG25" s="208"/>
      <c r="CH25" s="208"/>
      <c r="CI25" s="208"/>
      <c r="CJ25" s="208"/>
      <c r="CK25" s="208"/>
      <c r="CL25" s="207" t="str">
        <f>TEXT(AB25,"#0.00%") &amp; " "</f>
        <v xml:space="preserve">75.00% </v>
      </c>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f ca="1">IF(M26="","0",(N26-M26+1)-COUNTIFS(INDIRECT(getCalendarRange(O26)),"&gt;=" &amp; M26,INDIRECT(getCalendarRange(O26)),"&lt;=" &amp; N26))</f>
        <v>17</v>
      </c>
      <c r="S26" s="150">
        <f ca="1">IF(M26&gt;TODAY(),0,IF(N26&lt;TODAY(),R26,(TODAY()-M26+1)-COUNTIFS(INDIRECT(getCalendarRange(O26)),"&gt;=" &amp; M26,INDIRECT(getCalendarRange(O26)),"&lt;=" &amp; TODAY())))</f>
        <v>17</v>
      </c>
      <c r="T26" s="126"/>
      <c r="U26" s="126"/>
      <c r="V26" s="151">
        <v>0</v>
      </c>
      <c r="W26" s="152" t="str">
        <f ca="1">IF(U26="","0",IF(T26="","0",(U26-T26+1)-COUNTIFS(INDIRECT(getCalendarRange(O26)),"&gt;=" &amp; T26,INDIRECT(getCalendarRange(O26)),"&lt;=" &amp; U26)))</f>
        <v>0</v>
      </c>
      <c r="X26" s="153"/>
      <c r="Y26" s="184"/>
      <c r="Z26" s="154"/>
      <c r="AA26" s="155">
        <v>1</v>
      </c>
      <c r="AB26" s="156">
        <v>1</v>
      </c>
      <c r="AC26" s="212"/>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c r="CQ26" s="208"/>
      <c r="CR26" s="208"/>
      <c r="CS26" s="208"/>
      <c r="CT26" s="208"/>
      <c r="CU26" s="208"/>
      <c r="CV26" s="208"/>
      <c r="CW26" s="208"/>
      <c r="CX26" s="208"/>
      <c r="CY26" s="208"/>
      <c r="CZ26" s="208"/>
      <c r="DA26" s="208"/>
      <c r="DB26" s="208"/>
      <c r="DC26" s="208"/>
      <c r="DD26" s="208"/>
      <c r="DE26" s="208"/>
      <c r="DF26" s="208"/>
      <c r="DG26" s="207" t="str">
        <f>TEXT(AB26,"#0.00%") &amp; " "</f>
        <v xml:space="preserve">100.00% </v>
      </c>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f ca="1">IF(M27="","0",(N27-M27+1)-COUNTIFS(INDIRECT(getCalendarRange(O27)),"&gt;=" &amp; M27,INDIRECT(getCalendarRange(O27)),"&lt;=" &amp; N27))</f>
        <v>17</v>
      </c>
      <c r="S27" s="150">
        <f ca="1">IF(M27&gt;TODAY(),0,IF(N27&lt;TODAY(),R27,(TODAY()-M27+1)-COUNTIFS(INDIRECT(getCalendarRange(O27)),"&gt;=" &amp; M27,INDIRECT(getCalendarRange(O27)),"&lt;=" &amp; TODAY())))</f>
        <v>17</v>
      </c>
      <c r="T27" s="126"/>
      <c r="U27" s="126"/>
      <c r="V27" s="151">
        <v>0</v>
      </c>
      <c r="W27" s="152" t="str">
        <f ca="1">IF(U27="","0",IF(T27="","0",(U27-T27+1)-COUNTIFS(INDIRECT(getCalendarRange(O27)),"&gt;=" &amp; T27,INDIRECT(getCalendarRange(O27)),"&lt;=" &amp; U27)))</f>
        <v>0</v>
      </c>
      <c r="X27" s="153"/>
      <c r="Y27" s="184"/>
      <c r="Z27" s="154"/>
      <c r="AA27" s="155">
        <v>1</v>
      </c>
      <c r="AB27" s="156">
        <v>1</v>
      </c>
      <c r="AC27" s="212"/>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c r="CQ27" s="208"/>
      <c r="CR27" s="208"/>
      <c r="CS27" s="208"/>
      <c r="CT27" s="208"/>
      <c r="CU27" s="208"/>
      <c r="CV27" s="208"/>
      <c r="CW27" s="208"/>
      <c r="CX27" s="208"/>
      <c r="CY27" s="208"/>
      <c r="CZ27" s="208"/>
      <c r="DA27" s="208"/>
      <c r="DB27" s="208"/>
      <c r="DC27" s="208"/>
      <c r="DD27" s="208"/>
      <c r="DE27" s="208"/>
      <c r="DF27" s="208"/>
      <c r="DG27" s="207" t="str">
        <f>TEXT(AB27,"#0.00%") &amp; " "</f>
        <v xml:space="preserve">100.00% </v>
      </c>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1144</v>
      </c>
      <c r="E28" s="148"/>
      <c r="F28" s="148"/>
      <c r="G28" s="148"/>
      <c r="H28" s="184" t="s">
        <v>1142</v>
      </c>
      <c r="I28" s="148"/>
      <c r="J28" s="148"/>
      <c r="K28" s="148"/>
      <c r="L28" s="148"/>
      <c r="M28" s="126">
        <v>43480</v>
      </c>
      <c r="N28" s="126">
        <v>43486</v>
      </c>
      <c r="O28" s="148"/>
      <c r="P28" s="149">
        <v>7</v>
      </c>
      <c r="Q28" s="149">
        <v>7</v>
      </c>
      <c r="R28" s="150">
        <f ca="1">IF(M28="","0",(N28-M28+1)-COUNTIFS(INDIRECT(getCalendarRange(O28)),"&gt;=" &amp; M28,INDIRECT(getCalendarRange(O28)),"&lt;=" &amp; N28))</f>
        <v>7</v>
      </c>
      <c r="S28" s="150">
        <f ca="1">IF(M28&gt;TODAY(),0,IF(N28&lt;TODAY(),R28,(TODAY()-M28+1)-COUNTIFS(INDIRECT(getCalendarRange(O28)),"&gt;=" &amp; M28,INDIRECT(getCalendarRange(O28)),"&lt;=" &amp; TODAY())))</f>
        <v>7</v>
      </c>
      <c r="T28" s="126"/>
      <c r="U28" s="126"/>
      <c r="V28" s="151"/>
      <c r="W28" s="152" t="str">
        <f ca="1">IF(U28="","0",IF(T28="","0",(U28-T28+1)-COUNTIFS(INDIRECT(getCalendarRange(O28)),"&gt;=" &amp; T28,INDIRECT(getCalendarRange(O28)),"&lt;=" &amp; U28)))</f>
        <v>0</v>
      </c>
      <c r="X28" s="153">
        <v>1</v>
      </c>
      <c r="Y28" s="184" t="s">
        <v>1140</v>
      </c>
      <c r="Z28" s="154"/>
      <c r="AA28" s="155">
        <v>1</v>
      </c>
      <c r="AB28" s="156">
        <v>1</v>
      </c>
      <c r="AC28" s="212"/>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c r="CQ28" s="208"/>
      <c r="CR28" s="208"/>
      <c r="CS28" s="208"/>
      <c r="CT28" s="208"/>
      <c r="CU28" s="208"/>
      <c r="CV28" s="208"/>
      <c r="CW28" s="207" t="str">
        <f>TEXT(AB28,"#0.00%") &amp; " "</f>
        <v xml:space="preserve">100.00% </v>
      </c>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1145</v>
      </c>
      <c r="E29" s="148"/>
      <c r="F29" s="148"/>
      <c r="G29" s="148"/>
      <c r="H29" s="184" t="s">
        <v>1143</v>
      </c>
      <c r="I29" s="148"/>
      <c r="J29" s="148"/>
      <c r="K29" s="148"/>
      <c r="L29" s="148"/>
      <c r="M29" s="126">
        <v>43486</v>
      </c>
      <c r="N29" s="126">
        <v>43491</v>
      </c>
      <c r="O29" s="148"/>
      <c r="P29" s="149">
        <v>6</v>
      </c>
      <c r="Q29" s="149">
        <v>6</v>
      </c>
      <c r="R29" s="150">
        <f ca="1">IF(M29="","0",(N29-M29+1)-COUNTIFS(INDIRECT(getCalendarRange(O29)),"&gt;=" &amp; M29,INDIRECT(getCalendarRange(O29)),"&lt;=" &amp; N29))</f>
        <v>6</v>
      </c>
      <c r="S29" s="150">
        <f ca="1">IF(M29&gt;TODAY(),0,IF(N29&lt;TODAY(),R29,(TODAY()-M29+1)-COUNTIFS(INDIRECT(getCalendarRange(O29)),"&gt;=" &amp; M29,INDIRECT(getCalendarRange(O29)),"&lt;=" &amp; TODAY())))</f>
        <v>6</v>
      </c>
      <c r="T29" s="126"/>
      <c r="U29" s="126"/>
      <c r="V29" s="151"/>
      <c r="W29" s="152" t="str">
        <f ca="1">IF(U29="","0",IF(T29="","0",(U29-T29+1)-COUNTIFS(INDIRECT(getCalendarRange(O29)),"&gt;=" &amp; T29,INDIRECT(getCalendarRange(O29)),"&lt;=" &amp; U29)))</f>
        <v>0</v>
      </c>
      <c r="X29" s="153">
        <v>1</v>
      </c>
      <c r="Y29" s="184" t="s">
        <v>1103</v>
      </c>
      <c r="Z29" s="154"/>
      <c r="AA29" s="155">
        <v>1</v>
      </c>
      <c r="AB29" s="156">
        <v>1</v>
      </c>
      <c r="AC29" s="212"/>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c r="CW29" s="208"/>
      <c r="CX29" s="208"/>
      <c r="CY29" s="208"/>
      <c r="CZ29" s="208"/>
      <c r="DA29" s="208"/>
      <c r="DB29" s="207" t="str">
        <f>TEXT(AB29,"#0.00%") &amp; " "</f>
        <v xml:space="preserve">100.00% </v>
      </c>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1146</v>
      </c>
      <c r="E30" s="148"/>
      <c r="F30" s="148"/>
      <c r="G30" s="184"/>
      <c r="H30" s="183" t="s">
        <v>1141</v>
      </c>
      <c r="I30" s="148"/>
      <c r="J30" s="148"/>
      <c r="K30" s="148"/>
      <c r="L30" s="148"/>
      <c r="M30" s="126">
        <v>43486</v>
      </c>
      <c r="N30" s="126">
        <v>43496</v>
      </c>
      <c r="O30" s="148"/>
      <c r="P30" s="149">
        <v>11</v>
      </c>
      <c r="Q30" s="149">
        <v>11</v>
      </c>
      <c r="R30" s="150">
        <f ca="1">IF(M30="","0",(N30-M30+1)-COUNTIFS(INDIRECT(getCalendarRange(O30)),"&gt;=" &amp; M30,INDIRECT(getCalendarRange(O30)),"&lt;=" &amp; N30))</f>
        <v>11</v>
      </c>
      <c r="S30" s="150">
        <f ca="1">IF(M30&gt;TODAY(),0,IF(N30&lt;TODAY(),R30,(TODAY()-M30+1)-COUNTIFS(INDIRECT(getCalendarRange(O30)),"&gt;=" &amp; M30,INDIRECT(getCalendarRange(O30)),"&lt;=" &amp; TODAY())))</f>
        <v>11</v>
      </c>
      <c r="T30" s="126"/>
      <c r="U30" s="126"/>
      <c r="V30" s="151"/>
      <c r="W30" s="152" t="str">
        <f ca="1">IF(U30="","0",IF(T30="","0",(U30-T30+1)-COUNTIFS(INDIRECT(getCalendarRange(O30)),"&gt;=" &amp; T30,INDIRECT(getCalendarRange(O30)),"&lt;=" &amp; U30)))</f>
        <v>0</v>
      </c>
      <c r="X30" s="153">
        <v>1</v>
      </c>
      <c r="Y30" s="184" t="s">
        <v>1140</v>
      </c>
      <c r="Z30" s="154"/>
      <c r="AA30" s="155">
        <v>1</v>
      </c>
      <c r="AB30" s="156">
        <v>1</v>
      </c>
      <c r="AC30" s="212"/>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c r="CW30" s="208"/>
      <c r="CX30" s="208"/>
      <c r="CY30" s="208"/>
      <c r="CZ30" s="208"/>
      <c r="DA30" s="208"/>
      <c r="DB30" s="208"/>
      <c r="DC30" s="208"/>
      <c r="DD30" s="208"/>
      <c r="DE30" s="208"/>
      <c r="DF30" s="208"/>
      <c r="DG30" s="207" t="str">
        <f>TEXT(AB30,"#0.00%") &amp; " "</f>
        <v xml:space="preserve">100.00% </v>
      </c>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1159</v>
      </c>
      <c r="E31" s="148"/>
      <c r="F31" s="148"/>
      <c r="G31" s="184"/>
      <c r="H31" s="183" t="s">
        <v>1155</v>
      </c>
      <c r="I31" s="148"/>
      <c r="J31" s="148"/>
      <c r="K31" s="148"/>
      <c r="L31" s="148"/>
      <c r="M31" s="126">
        <v>43486</v>
      </c>
      <c r="N31" s="126">
        <v>43496</v>
      </c>
      <c r="O31" s="148"/>
      <c r="P31" s="149">
        <v>11</v>
      </c>
      <c r="Q31" s="149">
        <v>11</v>
      </c>
      <c r="R31" s="150">
        <f ca="1">IF(M31="","0",(N31-M31+1)-COUNTIFS(INDIRECT(getCalendarRange(O31)),"&gt;=" &amp; M31,INDIRECT(getCalendarRange(O31)),"&lt;=" &amp; N31))</f>
        <v>11</v>
      </c>
      <c r="S31" s="150">
        <f ca="1">IF(M31&gt;TODAY(),0,IF(N31&lt;TODAY(),R31,(TODAY()-M31+1)-COUNTIFS(INDIRECT(getCalendarRange(O31)),"&gt;=" &amp; M31,INDIRECT(getCalendarRange(O31)),"&lt;=" &amp; TODAY())))</f>
        <v>11</v>
      </c>
      <c r="T31" s="126"/>
      <c r="U31" s="126"/>
      <c r="V31" s="151"/>
      <c r="W31" s="152" t="str">
        <f ca="1">IF(U31="","0",IF(T31="","0",(U31-T31+1)-COUNTIFS(INDIRECT(getCalendarRange(O31)),"&gt;=" &amp; T31,INDIRECT(getCalendarRange(O31)),"&lt;=" &amp; U31)))</f>
        <v>0</v>
      </c>
      <c r="X31" s="153">
        <v>1</v>
      </c>
      <c r="Y31" s="184" t="s">
        <v>1140</v>
      </c>
      <c r="Z31" s="154"/>
      <c r="AA31" s="155">
        <v>1</v>
      </c>
      <c r="AB31" s="156">
        <v>1</v>
      </c>
      <c r="AC31" s="212"/>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c r="CW31" s="208"/>
      <c r="CX31" s="208"/>
      <c r="CY31" s="208"/>
      <c r="CZ31" s="208"/>
      <c r="DA31" s="208"/>
      <c r="DB31" s="208"/>
      <c r="DC31" s="208"/>
      <c r="DD31" s="208"/>
      <c r="DE31" s="208"/>
      <c r="DF31" s="208"/>
      <c r="DG31" s="207" t="str">
        <f>TEXT(AB31,"#0.00%") &amp; " "</f>
        <v xml:space="preserve">100.00% </v>
      </c>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f ca="1">IF(M32="","0",(N32-M32+1)-COUNTIFS(INDIRECT(getCalendarRange(O32)),"&gt;=" &amp; M32,INDIRECT(getCalendarRange(O32)),"&lt;=" &amp; N32))</f>
        <v>17</v>
      </c>
      <c r="S32" s="150">
        <f ca="1">IF(M32&gt;TODAY(),0,IF(N32&lt;TODAY(),R32,(TODAY()-M32+1)-COUNTIFS(INDIRECT(getCalendarRange(O32)),"&gt;=" &amp; M32,INDIRECT(getCalendarRange(O32)),"&lt;=" &amp; TODAY())))</f>
        <v>17</v>
      </c>
      <c r="T32" s="126"/>
      <c r="U32" s="126"/>
      <c r="V32" s="151">
        <v>0</v>
      </c>
      <c r="W32" s="152" t="str">
        <f ca="1">IF(U32="","0",IF(T32="","0",(U32-T32+1)-COUNTIFS(INDIRECT(getCalendarRange(O32)),"&gt;=" &amp; T32,INDIRECT(getCalendarRange(O32)),"&lt;=" &amp; U32)))</f>
        <v>0</v>
      </c>
      <c r="X32" s="153"/>
      <c r="Y32" s="148"/>
      <c r="Z32" s="154"/>
      <c r="AA32" s="155">
        <v>1</v>
      </c>
      <c r="AB32" s="156">
        <v>1</v>
      </c>
      <c r="AC32" s="212"/>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c r="CQ32" s="208"/>
      <c r="CR32" s="208"/>
      <c r="CS32" s="208"/>
      <c r="CT32" s="208"/>
      <c r="CU32" s="208"/>
      <c r="CV32" s="208"/>
      <c r="CW32" s="208"/>
      <c r="CX32" s="208"/>
      <c r="CY32" s="208"/>
      <c r="CZ32" s="208"/>
      <c r="DA32" s="208"/>
      <c r="DB32" s="208"/>
      <c r="DC32" s="208"/>
      <c r="DD32" s="208"/>
      <c r="DE32" s="208"/>
      <c r="DF32" s="208"/>
      <c r="DG32" s="207" t="str">
        <f>TEXT(AB32,"#0.00%") &amp; " "</f>
        <v xml:space="preserve">100.00% </v>
      </c>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f ca="1">IF(M33="","0",(N33-M33+1)-COUNTIFS(INDIRECT(getCalendarRange(O33)),"&gt;=" &amp; M33,INDIRECT(getCalendarRange(O33)),"&lt;=" &amp; N33))</f>
        <v>17</v>
      </c>
      <c r="S33" s="150">
        <f ca="1">IF(M33&gt;TODAY(),0,IF(N33&lt;TODAY(),R33,(TODAY()-M33+1)-COUNTIFS(INDIRECT(getCalendarRange(O33)),"&gt;=" &amp; M33,INDIRECT(getCalendarRange(O33)),"&lt;=" &amp; TODAY())))</f>
        <v>17</v>
      </c>
      <c r="T33" s="126"/>
      <c r="U33" s="126"/>
      <c r="V33" s="151"/>
      <c r="W33" s="152" t="str">
        <f ca="1">IF(U33="","0",IF(T33="","0",(U33-T33+1)-COUNTIFS(INDIRECT(getCalendarRange(O33)),"&gt;=" &amp; T33,INDIRECT(getCalendarRange(O33)),"&lt;=" &amp; U33)))</f>
        <v>0</v>
      </c>
      <c r="X33" s="153">
        <v>1</v>
      </c>
      <c r="Y33" s="183" t="s">
        <v>1083</v>
      </c>
      <c r="Z33" s="154"/>
      <c r="AA33" s="155">
        <v>1</v>
      </c>
      <c r="AB33" s="156">
        <v>1</v>
      </c>
      <c r="AC33" s="212"/>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c r="CQ33" s="208"/>
      <c r="CR33" s="208"/>
      <c r="CS33" s="208"/>
      <c r="CT33" s="208"/>
      <c r="CU33" s="208"/>
      <c r="CV33" s="208"/>
      <c r="CW33" s="208"/>
      <c r="CX33" s="208"/>
      <c r="CY33" s="208"/>
      <c r="CZ33" s="208"/>
      <c r="DA33" s="208"/>
      <c r="DB33" s="208"/>
      <c r="DC33" s="208"/>
      <c r="DD33" s="208"/>
      <c r="DE33" s="208"/>
      <c r="DF33" s="208"/>
      <c r="DG33" s="207" t="str">
        <f>TEXT(AB33,"#0.00%") &amp; " "</f>
        <v xml:space="preserve">100.00% </v>
      </c>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f ca="1">IF(M34="","0",(N34-M34+1)-COUNTIFS(INDIRECT(getCalendarRange(O34)),"&gt;=" &amp; M34,INDIRECT(getCalendarRange(O34)),"&lt;=" &amp; N34))</f>
        <v>17</v>
      </c>
      <c r="S34" s="150">
        <f ca="1">IF(M34&gt;TODAY(),0,IF(N34&lt;TODAY(),R34,(TODAY()-M34+1)-COUNTIFS(INDIRECT(getCalendarRange(O34)),"&gt;=" &amp; M34,INDIRECT(getCalendarRange(O34)),"&lt;=" &amp; TODAY())))</f>
        <v>17</v>
      </c>
      <c r="T34" s="126"/>
      <c r="U34" s="126"/>
      <c r="V34" s="151"/>
      <c r="W34" s="152" t="str">
        <f ca="1">IF(U34="","0",IF(T34="","0",(U34-T34+1)-COUNTIFS(INDIRECT(getCalendarRange(O34)),"&gt;=" &amp; T34,INDIRECT(getCalendarRange(O34)),"&lt;=" &amp; U34)))</f>
        <v>0</v>
      </c>
      <c r="X34" s="153">
        <v>1</v>
      </c>
      <c r="Y34" s="183" t="s">
        <v>1085</v>
      </c>
      <c r="Z34" s="154"/>
      <c r="AA34" s="155">
        <v>1</v>
      </c>
      <c r="AB34" s="156">
        <v>1</v>
      </c>
      <c r="AC34" s="212"/>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c r="CQ34" s="208"/>
      <c r="CR34" s="208"/>
      <c r="CS34" s="208"/>
      <c r="CT34" s="208"/>
      <c r="CU34" s="208"/>
      <c r="CV34" s="208"/>
      <c r="CW34" s="208"/>
      <c r="CX34" s="208"/>
      <c r="CY34" s="208"/>
      <c r="CZ34" s="208"/>
      <c r="DA34" s="208"/>
      <c r="DB34" s="208"/>
      <c r="DC34" s="208"/>
      <c r="DD34" s="208"/>
      <c r="DE34" s="208"/>
      <c r="DF34" s="208"/>
      <c r="DG34" s="207" t="str">
        <f>TEXT(AB34,"#0.00%") &amp; " "</f>
        <v xml:space="preserve">100.00% </v>
      </c>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f ca="1">IF(M35="","0",(N35-M35+1)-COUNTIFS(INDIRECT(getCalendarRange(O35)),"&gt;=" &amp; M35,INDIRECT(getCalendarRange(O35)),"&lt;=" &amp; N35))</f>
        <v>17</v>
      </c>
      <c r="S35" s="150">
        <f ca="1">IF(M35&gt;TODAY(),0,IF(N35&lt;TODAY(),R35,(TODAY()-M35+1)-COUNTIFS(INDIRECT(getCalendarRange(O35)),"&gt;=" &amp; M35,INDIRECT(getCalendarRange(O35)),"&lt;=" &amp; TODAY())))</f>
        <v>17</v>
      </c>
      <c r="T35" s="126"/>
      <c r="U35" s="126"/>
      <c r="V35" s="151"/>
      <c r="W35" s="152" t="str">
        <f ca="1">IF(U35="","0",IF(T35="","0",(U35-T35+1)-COUNTIFS(INDIRECT(getCalendarRange(O35)),"&gt;=" &amp; T35,INDIRECT(getCalendarRange(O35)),"&lt;=" &amp; U35)))</f>
        <v>0</v>
      </c>
      <c r="X35" s="153">
        <v>1</v>
      </c>
      <c r="Y35" s="183" t="s">
        <v>1083</v>
      </c>
      <c r="Z35" s="154" t="s">
        <v>942</v>
      </c>
      <c r="AA35" s="155">
        <v>1</v>
      </c>
      <c r="AB35" s="156">
        <v>1</v>
      </c>
      <c r="AC35" s="212"/>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c r="CQ35" s="208"/>
      <c r="CR35" s="208"/>
      <c r="CS35" s="208"/>
      <c r="CT35" s="208"/>
      <c r="CU35" s="208"/>
      <c r="CV35" s="208"/>
      <c r="CW35" s="208"/>
      <c r="CX35" s="208"/>
      <c r="CY35" s="208"/>
      <c r="CZ35" s="208"/>
      <c r="DA35" s="208"/>
      <c r="DB35" s="208"/>
      <c r="DC35" s="208"/>
      <c r="DD35" s="208"/>
      <c r="DE35" s="208"/>
      <c r="DF35" s="208"/>
      <c r="DG35" s="207" t="str">
        <f>TEXT(AB35,"#0.00%") &amp; " "</f>
        <v xml:space="preserve">100.00% </v>
      </c>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766</v>
      </c>
      <c r="Q36" s="149">
        <v>275</v>
      </c>
      <c r="R36" s="150">
        <f ca="1">IF(M36="","0",(N36-M36+1)-COUNTIFS(INDIRECT(getCalendarRange(O36)),"&gt;=" &amp; M36,INDIRECT(getCalendarRange(O36)),"&lt;=" &amp; N36))</f>
        <v>127</v>
      </c>
      <c r="S36" s="150">
        <f ca="1">IF(M36&gt;TODAY(),0,IF(N36&lt;TODAY(),R36,(TODAY()-M36+1)-COUNTIFS(INDIRECT(getCalendarRange(O36)),"&gt;=" &amp; M36,INDIRECT(getCalendarRange(O36)),"&lt;=" &amp; TODAY())))</f>
        <v>46</v>
      </c>
      <c r="T36" s="126"/>
      <c r="U36" s="126"/>
      <c r="V36" s="151">
        <v>0</v>
      </c>
      <c r="W36" s="152" t="str">
        <f ca="1">IF(U36="","0",IF(T36="","0",(U36-T36+1)-COUNTIFS(INDIRECT(getCalendarRange(O36)),"&gt;=" &amp; T36,INDIRECT(getCalendarRange(O36)),"&lt;=" &amp; U36)))</f>
        <v>0</v>
      </c>
      <c r="X36" s="153"/>
      <c r="Y36" s="148"/>
      <c r="Z36" s="154"/>
      <c r="AA36" s="155">
        <v>0.35900783289817234</v>
      </c>
      <c r="AB36" s="156">
        <v>0.35979112271540475</v>
      </c>
      <c r="AC36" s="212"/>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c r="DH36" s="208"/>
      <c r="DI36" s="208"/>
      <c r="DJ36" s="208"/>
      <c r="DK36" s="208"/>
      <c r="DL36" s="208"/>
      <c r="DM36" s="208"/>
      <c r="DN36" s="208"/>
      <c r="DO36" s="208"/>
      <c r="DP36" s="208"/>
      <c r="DQ36" s="208"/>
      <c r="DR36" s="207"/>
      <c r="DS36" s="208"/>
      <c r="DT36" s="208"/>
      <c r="DU36" s="208"/>
      <c r="DV36" s="208"/>
      <c r="DW36" s="208"/>
      <c r="DX36" s="208"/>
      <c r="DY36" s="208"/>
      <c r="DZ36" s="208"/>
      <c r="EA36" s="208"/>
      <c r="EB36" s="208"/>
      <c r="EC36" s="208"/>
      <c r="ED36" s="208"/>
      <c r="EE36" s="208"/>
      <c r="EF36" s="208"/>
      <c r="EG36" s="208"/>
      <c r="EH36" s="207"/>
      <c r="EI36" s="208"/>
      <c r="EJ36" s="208"/>
      <c r="EK36" s="208"/>
      <c r="EL36" s="208"/>
      <c r="EM36" s="208"/>
      <c r="EN36" s="208"/>
      <c r="EO36" s="208"/>
      <c r="EP36" s="208"/>
      <c r="EQ36" s="208"/>
      <c r="ER36" s="208"/>
      <c r="ES36" s="208"/>
      <c r="ET36" s="208"/>
      <c r="EU36" s="208"/>
      <c r="EV36" s="208"/>
      <c r="EW36" s="208"/>
      <c r="EX36" s="208"/>
      <c r="EY36" s="208"/>
      <c r="EZ36" s="208"/>
      <c r="FA36" s="207" t="str">
        <f>TEXT(AB36,"#0.00%") &amp; " "</f>
        <v xml:space="preserve">35.98% </v>
      </c>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43623</v>
      </c>
      <c r="O37" s="148"/>
      <c r="P37" s="149">
        <v>752</v>
      </c>
      <c r="Q37" s="149">
        <v>275</v>
      </c>
      <c r="R37" s="150">
        <f ca="1">IF(M37="","0",(N37-M37+1)-COUNTIFS(INDIRECT(getCalendarRange(O37)),"&gt;=" &amp; M37,INDIRECT(getCalendarRange(O37)),"&lt;=" &amp; N37))</f>
        <v>127</v>
      </c>
      <c r="S37" s="150">
        <f ca="1">IF(M37&gt;TODAY(),0,IF(N37&lt;TODAY(),R37,(TODAY()-M37+1)-COUNTIFS(INDIRECT(getCalendarRange(O37)),"&gt;=" &amp; M37,INDIRECT(getCalendarRange(O37)),"&lt;=" &amp; TODAY())))</f>
        <v>46</v>
      </c>
      <c r="T37" s="126"/>
      <c r="U37" s="126"/>
      <c r="V37" s="151">
        <v>0</v>
      </c>
      <c r="W37" s="152" t="str">
        <f ca="1">IF(U37="","0",IF(T37="","0",(U37-T37+1)-COUNTIFS(INDIRECT(getCalendarRange(O37)),"&gt;=" &amp; T37,INDIRECT(getCalendarRange(O37)),"&lt;=" &amp; U37)))</f>
        <v>0</v>
      </c>
      <c r="X37" s="153"/>
      <c r="Y37" s="148"/>
      <c r="Z37" s="154"/>
      <c r="AA37" s="155">
        <v>0.36569148936170215</v>
      </c>
      <c r="AB37" s="156">
        <v>0.3664893617021277</v>
      </c>
      <c r="AC37" s="212"/>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2/1-6/7 </v>
      </c>
      <c r="DG37" s="207"/>
      <c r="DH37" s="208"/>
      <c r="DI37" s="208"/>
      <c r="DJ37" s="208"/>
      <c r="DK37" s="208"/>
      <c r="DL37" s="208"/>
      <c r="DM37" s="208"/>
      <c r="DN37" s="208"/>
      <c r="DO37" s="208"/>
      <c r="DP37" s="208"/>
      <c r="DQ37" s="208"/>
      <c r="DR37" s="208"/>
      <c r="DS37" s="207"/>
      <c r="DT37" s="208"/>
      <c r="DU37" s="208"/>
      <c r="DV37" s="208"/>
      <c r="DW37" s="208"/>
      <c r="DX37" s="208"/>
      <c r="DY37" s="208"/>
      <c r="DZ37" s="208"/>
      <c r="EA37" s="208"/>
      <c r="EB37" s="208"/>
      <c r="EC37" s="208"/>
      <c r="ED37" s="208"/>
      <c r="EE37" s="208"/>
      <c r="EF37" s="208"/>
      <c r="EG37" s="208"/>
      <c r="EH37" s="207"/>
      <c r="EI37" s="208"/>
      <c r="EJ37" s="208"/>
      <c r="EK37" s="208"/>
      <c r="EL37" s="208"/>
      <c r="EM37" s="208"/>
      <c r="EN37" s="208"/>
      <c r="EO37" s="208"/>
      <c r="EP37" s="208"/>
      <c r="EQ37" s="208"/>
      <c r="ER37" s="208"/>
      <c r="ES37" s="208"/>
      <c r="ET37" s="208"/>
      <c r="EU37" s="208"/>
      <c r="EV37" s="208"/>
      <c r="EW37" s="208"/>
      <c r="EX37" s="208"/>
      <c r="EY37" s="208"/>
      <c r="EZ37" s="208"/>
      <c r="FA37" s="208"/>
      <c r="FB37" s="207" t="str">
        <f>TEXT(AB37,"#0.00%") &amp; " "</f>
        <v xml:space="preserve">36.65% </v>
      </c>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f ca="1">IF(M38="","0",(N38-M38+1)-COUNTIFS(INDIRECT(getCalendarRange(O38)),"&gt;=" &amp; M38,INDIRECT(getCalendarRange(O38)),"&lt;=" &amp; N38))</f>
        <v>2</v>
      </c>
      <c r="S38" s="150">
        <f ca="1">IF(M38&gt;TODAY(),0,IF(N38&lt;TODAY(),R38,(TODAY()-M38+1)-COUNTIFS(INDIRECT(getCalendarRange(O38)),"&gt;=" &amp; M38,INDIRECT(getCalendarRange(O38)),"&lt;=" &amp; TODAY())))</f>
        <v>2</v>
      </c>
      <c r="T38" s="126"/>
      <c r="U38" s="126"/>
      <c r="V38" s="151"/>
      <c r="W38" s="152" t="str">
        <f ca="1">IF(U38="","0",IF(T38="","0",(U38-T38+1)-COUNTIFS(INDIRECT(getCalendarRange(O38)),"&gt;=" &amp; T38,INDIRECT(getCalendarRange(O38)),"&lt;=" &amp; U38)))</f>
        <v>0</v>
      </c>
      <c r="X38" s="153">
        <v>1</v>
      </c>
      <c r="Y38" s="184" t="s">
        <v>1103</v>
      </c>
      <c r="Z38" s="154"/>
      <c r="AA38" s="155">
        <v>1</v>
      </c>
      <c r="AB38" s="156">
        <v>0</v>
      </c>
      <c r="AC38" s="212"/>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43623</v>
      </c>
      <c r="O39" s="148"/>
      <c r="P39" s="149">
        <v>750</v>
      </c>
      <c r="Q39" s="149">
        <v>273</v>
      </c>
      <c r="R39" s="150">
        <f ca="1">IF(M39="","0",(N39-M39+1)-COUNTIFS(INDIRECT(getCalendarRange(O39)),"&gt;=" &amp; M39,INDIRECT(getCalendarRange(O39)),"&lt;=" &amp; N39))</f>
        <v>127</v>
      </c>
      <c r="S39" s="150">
        <f ca="1">IF(M39&gt;TODAY(),0,IF(N39&lt;TODAY(),R39,(TODAY()-M39+1)-COUNTIFS(INDIRECT(getCalendarRange(O39)),"&gt;=" &amp; M39,INDIRECT(getCalendarRange(O39)),"&lt;=" &amp; TODAY())))</f>
        <v>46</v>
      </c>
      <c r="T39" s="126"/>
      <c r="U39" s="126"/>
      <c r="V39" s="151">
        <v>0</v>
      </c>
      <c r="W39" s="152" t="str">
        <f ca="1">IF(U39="","0",IF(T39="","0",(U39-T39+1)-COUNTIFS(INDIRECT(getCalendarRange(O39)),"&gt;=" &amp; T39,INDIRECT(getCalendarRange(O39)),"&lt;=" &amp; U39)))</f>
        <v>0</v>
      </c>
      <c r="X39" s="153"/>
      <c r="Y39" s="184"/>
      <c r="Z39" s="154"/>
      <c r="AA39" s="155">
        <v>0.36399999999999999</v>
      </c>
      <c r="AB39" s="156">
        <v>0.36746666666666672</v>
      </c>
      <c r="AC39" s="212"/>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2/1-6/7 </v>
      </c>
      <c r="DG39" s="207"/>
      <c r="DH39" s="208"/>
      <c r="DI39" s="208"/>
      <c r="DJ39" s="208"/>
      <c r="DK39" s="208"/>
      <c r="DL39" s="208"/>
      <c r="DM39" s="208"/>
      <c r="DN39" s="208"/>
      <c r="DO39" s="208"/>
      <c r="DP39" s="208"/>
      <c r="DQ39" s="208"/>
      <c r="DR39" s="208"/>
      <c r="DS39" s="207"/>
      <c r="DT39" s="208"/>
      <c r="DU39" s="208"/>
      <c r="DV39" s="208"/>
      <c r="DW39" s="208"/>
      <c r="DX39" s="208"/>
      <c r="DY39" s="208"/>
      <c r="DZ39" s="208"/>
      <c r="EA39" s="208"/>
      <c r="EB39" s="208"/>
      <c r="EC39" s="208"/>
      <c r="ED39" s="208"/>
      <c r="EE39" s="208"/>
      <c r="EF39" s="208"/>
      <c r="EG39" s="208"/>
      <c r="EH39" s="208"/>
      <c r="EI39" s="207"/>
      <c r="EJ39" s="208"/>
      <c r="EK39" s="208"/>
      <c r="EL39" s="208"/>
      <c r="EM39" s="208"/>
      <c r="EN39" s="208"/>
      <c r="EO39" s="208"/>
      <c r="EP39" s="208"/>
      <c r="EQ39" s="208"/>
      <c r="ER39" s="208"/>
      <c r="ES39" s="208"/>
      <c r="ET39" s="208"/>
      <c r="EU39" s="208"/>
      <c r="EV39" s="208"/>
      <c r="EW39" s="208"/>
      <c r="EX39" s="208"/>
      <c r="EY39" s="208"/>
      <c r="EZ39" s="208"/>
      <c r="FA39" s="208"/>
      <c r="FB39" s="207" t="str">
        <f>TEXT(AB39,"#0.00%") &amp; " "</f>
        <v xml:space="preserve">36.75% </v>
      </c>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1189</v>
      </c>
      <c r="J40" s="148"/>
      <c r="K40" s="148"/>
      <c r="L40" s="148"/>
      <c r="M40" s="126">
        <v>43497</v>
      </c>
      <c r="N40" s="126">
        <v>43579</v>
      </c>
      <c r="O40" s="148"/>
      <c r="P40" s="149">
        <v>127</v>
      </c>
      <c r="Q40" s="149">
        <v>84</v>
      </c>
      <c r="R40" s="150">
        <f ca="1">IF(M40="","0",(N40-M40+1)-COUNTIFS(INDIRECT(getCalendarRange(O40)),"&gt;=" &amp; M40,INDIRECT(getCalendarRange(O40)),"&lt;=" &amp; N40))</f>
        <v>83</v>
      </c>
      <c r="S40" s="150">
        <f ca="1">IF(M40&gt;TODAY(),0,IF(N40&lt;TODAY(),R40,(TODAY()-M40+1)-COUNTIFS(INDIRECT(getCalendarRange(O40)),"&gt;=" &amp; M40,INDIRECT(getCalendarRange(O40)),"&lt;=" &amp; TODAY())))</f>
        <v>46</v>
      </c>
      <c r="T40" s="126"/>
      <c r="U40" s="126"/>
      <c r="V40" s="151">
        <v>0</v>
      </c>
      <c r="W40" s="152" t="str">
        <f ca="1">IF(U40="","0",IF(T40="","0",(U40-T40+1)-COUNTIFS(INDIRECT(getCalendarRange(O40)),"&gt;=" &amp; T40,INDIRECT(getCalendarRange(O40)),"&lt;=" &amp; U40)))</f>
        <v>0</v>
      </c>
      <c r="X40" s="153"/>
      <c r="Y40" s="183" t="s">
        <v>1168</v>
      </c>
      <c r="Z40" s="154"/>
      <c r="AA40" s="155">
        <v>0.66141732283464572</v>
      </c>
      <c r="AB40" s="156">
        <v>0.18346456692913388</v>
      </c>
      <c r="AC40" s="212"/>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감정분석 2/1-4/24 </v>
      </c>
      <c r="DG40" s="207"/>
      <c r="DH40" s="208"/>
      <c r="DI40" s="208"/>
      <c r="DJ40" s="208"/>
      <c r="DK40" s="208"/>
      <c r="DL40" s="208"/>
      <c r="DM40" s="208"/>
      <c r="DN40" s="208"/>
      <c r="DO40" s="208"/>
      <c r="DP40" s="208"/>
      <c r="DQ40" s="208"/>
      <c r="DR40" s="208"/>
      <c r="DS40" s="208"/>
      <c r="DT40" s="208"/>
      <c r="DU40" s="208"/>
      <c r="DV40" s="207" t="str">
        <f>TEXT(AB40,"#0.00%") &amp; " "</f>
        <v xml:space="preserve">18.35% </v>
      </c>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3" t="s">
        <v>1187</v>
      </c>
      <c r="K41" s="148"/>
      <c r="L41" s="148"/>
      <c r="M41" s="126">
        <v>43497</v>
      </c>
      <c r="N41" s="126">
        <v>43506</v>
      </c>
      <c r="O41" s="148"/>
      <c r="P41" s="149">
        <v>10</v>
      </c>
      <c r="Q41" s="149">
        <v>10</v>
      </c>
      <c r="R41" s="150">
        <f ca="1">IF(M41="","0",(N41-M41+1)-COUNTIFS(INDIRECT(getCalendarRange(O41)),"&gt;=" &amp; M41,INDIRECT(getCalendarRange(O41)),"&lt;=" &amp; N41))</f>
        <v>10</v>
      </c>
      <c r="S41" s="150">
        <f ca="1">IF(M41&gt;TODAY(),0,IF(N41&lt;TODAY(),R41,(TODAY()-M41+1)-COUNTIFS(INDIRECT(getCalendarRange(O41)),"&gt;=" &amp; M41,INDIRECT(getCalendarRange(O41)),"&lt;=" &amp; TODAY())))</f>
        <v>10</v>
      </c>
      <c r="T41" s="126"/>
      <c r="U41" s="126"/>
      <c r="V41" s="151"/>
      <c r="W41" s="152" t="str">
        <f ca="1">IF(U41="","0",IF(T41="","0",(U41-T41+1)-COUNTIFS(INDIRECT(getCalendarRange(O41)),"&gt;=" &amp; T41,INDIRECT(getCalendarRange(O41)),"&lt;=" &amp; U41)))</f>
        <v>0</v>
      </c>
      <c r="X41" s="153">
        <v>1</v>
      </c>
      <c r="Y41" s="183" t="s">
        <v>1086</v>
      </c>
      <c r="Z41" s="154"/>
      <c r="AA41" s="155">
        <v>1</v>
      </c>
      <c r="AB41" s="156">
        <v>0.8</v>
      </c>
      <c r="AC41" s="212"/>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자료조사 2/1-2/10 </v>
      </c>
      <c r="DG41" s="207"/>
      <c r="DH41" s="208"/>
      <c r="DI41" s="208"/>
      <c r="DJ41" s="208"/>
      <c r="DK41" s="208"/>
      <c r="DL41" s="208"/>
      <c r="DM41" s="208"/>
      <c r="DN41" s="208"/>
      <c r="DO41" s="207" t="str">
        <f>TEXT(AB41,"#0.00%") &amp; " "</f>
        <v xml:space="preserve">80.00% </v>
      </c>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1106</v>
      </c>
      <c r="K42" s="148"/>
      <c r="L42" s="148"/>
      <c r="M42" s="126">
        <v>43507</v>
      </c>
      <c r="N42" s="126">
        <v>43518</v>
      </c>
      <c r="O42" s="148"/>
      <c r="P42" s="149">
        <v>12</v>
      </c>
      <c r="Q42" s="149">
        <v>12</v>
      </c>
      <c r="R42" s="150">
        <f ca="1">IF(M42="","0",(N42-M42+1)-COUNTIFS(INDIRECT(getCalendarRange(O42)),"&gt;=" &amp; M42,INDIRECT(getCalendarRange(O42)),"&lt;=" &amp; N42))</f>
        <v>12</v>
      </c>
      <c r="S42" s="150">
        <f ca="1">IF(M42&gt;TODAY(),0,IF(N42&lt;TODAY(),R42,(TODAY()-M42+1)-COUNTIFS(INDIRECT(getCalendarRange(O42)),"&gt;=" &amp; M42,INDIRECT(getCalendarRange(O42)),"&lt;=" &amp; TODAY())))</f>
        <v>12</v>
      </c>
      <c r="T42" s="126"/>
      <c r="U42" s="126"/>
      <c r="V42" s="151"/>
      <c r="W42" s="152" t="str">
        <f ca="1">IF(U42="","0",IF(T42="","0",(U42-T42+1)-COUNTIFS(INDIRECT(getCalendarRange(O42)),"&gt;=" &amp; T42,INDIRECT(getCalendarRange(O42)),"&lt;=" &amp; U42)))</f>
        <v>0</v>
      </c>
      <c r="X42" s="153">
        <v>1</v>
      </c>
      <c r="Y42" s="183" t="s">
        <v>1086</v>
      </c>
      <c r="Z42" s="154"/>
      <c r="AA42" s="155">
        <v>1</v>
      </c>
      <c r="AB42" s="156">
        <v>0.7</v>
      </c>
      <c r="AC42" s="212"/>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c r="DN42" s="208"/>
      <c r="DO42" s="208"/>
      <c r="DP42" s="208" t="str">
        <f>J42 &amp; " " &amp; IF(M42="","",TEXT(M42,"M/D-")) &amp; IF(N42="","",TEXT(N42,"M/D")) &amp; " "</f>
        <v xml:space="preserve">통화 음성 녹음 2/11-2/22 </v>
      </c>
      <c r="DQ42" s="207"/>
      <c r="DR42" s="208"/>
      <c r="DS42" s="208"/>
      <c r="DT42" s="208"/>
      <c r="DU42" s="208"/>
      <c r="DV42" s="208"/>
      <c r="DW42" s="208"/>
      <c r="DX42" s="208"/>
      <c r="DY42" s="207" t="str">
        <f>TEXT(AB42,"#0.00%") &amp; " "</f>
        <v xml:space="preserve">70.00% </v>
      </c>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83" t="s">
        <v>1090</v>
      </c>
      <c r="K43" s="148"/>
      <c r="L43" s="148"/>
      <c r="M43" s="126">
        <v>43519</v>
      </c>
      <c r="N43" s="126">
        <v>43527</v>
      </c>
      <c r="O43" s="148"/>
      <c r="P43" s="149">
        <v>9</v>
      </c>
      <c r="Q43" s="149">
        <v>9</v>
      </c>
      <c r="R43" s="150">
        <f ca="1">IF(M43="","0",(N43-M43+1)-COUNTIFS(INDIRECT(getCalendarRange(O43)),"&gt;=" &amp; M43,INDIRECT(getCalendarRange(O43)),"&lt;=" &amp; N43))</f>
        <v>9</v>
      </c>
      <c r="S43" s="150">
        <f ca="1">IF(M43&gt;TODAY(),0,IF(N43&lt;TODAY(),R43,(TODAY()-M43+1)-COUNTIFS(INDIRECT(getCalendarRange(O43)),"&gt;=" &amp; M43,INDIRECT(getCalendarRange(O43)),"&lt;=" &amp; TODAY())))</f>
        <v>9</v>
      </c>
      <c r="T43" s="126"/>
      <c r="U43" s="126"/>
      <c r="V43" s="151"/>
      <c r="W43" s="152" t="str">
        <f ca="1">IF(U43="","0",IF(T43="","0",(U43-T43+1)-COUNTIFS(INDIRECT(getCalendarRange(O43)),"&gt;=" &amp; T43,INDIRECT(getCalendarRange(O43)),"&lt;=" &amp; U43)))</f>
        <v>0</v>
      </c>
      <c r="X43" s="153">
        <v>1</v>
      </c>
      <c r="Y43" s="183" t="s">
        <v>1086</v>
      </c>
      <c r="Z43" s="154"/>
      <c r="AA43" s="155">
        <v>1</v>
      </c>
      <c r="AB43" s="156">
        <v>0.3</v>
      </c>
      <c r="AC43" s="212"/>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c r="DO43" s="208"/>
      <c r="DP43" s="208"/>
      <c r="DQ43" s="208"/>
      <c r="DR43" s="208"/>
      <c r="DS43" s="208"/>
      <c r="DT43" s="208"/>
      <c r="DU43" s="208"/>
      <c r="DV43" s="208"/>
      <c r="DW43" s="208"/>
      <c r="DX43" s="208"/>
      <c r="DY43" s="208"/>
      <c r="DZ43" s="208"/>
      <c r="EA43" s="208"/>
      <c r="EB43" s="208" t="str">
        <f>J43 &amp; " " &amp; IF(M43="","",TEXT(M43,"M/D-")) &amp; IF(N43="","",TEXT(N43,"M/D")) &amp; " "</f>
        <v xml:space="preserve">문자 내용 분석 2/23-3/3 </v>
      </c>
      <c r="EC43" s="207"/>
      <c r="ED43" s="208"/>
      <c r="EE43" s="208"/>
      <c r="EF43" s="207" t="str">
        <f>TEXT(AB43,"#0.00%") &amp; " "</f>
        <v xml:space="preserve">30.00% </v>
      </c>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1104</v>
      </c>
      <c r="K44" s="148"/>
      <c r="L44" s="148"/>
      <c r="M44" s="126">
        <v>43528</v>
      </c>
      <c r="N44" s="126">
        <v>43541</v>
      </c>
      <c r="O44" s="148"/>
      <c r="P44" s="149">
        <v>14</v>
      </c>
      <c r="Q44" s="149">
        <v>14</v>
      </c>
      <c r="R44" s="150">
        <f ca="1">IF(M44="","0",(N44-M44+1)-COUNTIFS(INDIRECT(getCalendarRange(O44)),"&gt;=" &amp; M44,INDIRECT(getCalendarRange(O44)),"&lt;=" &amp; N44))</f>
        <v>14</v>
      </c>
      <c r="S44" s="150">
        <f ca="1">IF(M44&gt;TODAY(),0,IF(N44&lt;TODAY(),R44,(TODAY()-M44+1)-COUNTIFS(INDIRECT(getCalendarRange(O44)),"&gt;=" &amp; M44,INDIRECT(getCalendarRange(O44)),"&lt;=" &amp; TODAY())))</f>
        <v>14</v>
      </c>
      <c r="T44" s="126"/>
      <c r="U44" s="126"/>
      <c r="V44" s="151"/>
      <c r="W44" s="152" t="str">
        <f ca="1">IF(U44="","0",IF(T44="","0",(U44-T44+1)-COUNTIFS(INDIRECT(getCalendarRange(O44)),"&gt;=" &amp; T44,INDIRECT(getCalendarRange(O44)),"&lt;=" &amp; U44)))</f>
        <v>0</v>
      </c>
      <c r="X44" s="153">
        <v>1</v>
      </c>
      <c r="Y44" s="183" t="s">
        <v>1086</v>
      </c>
      <c r="Z44" s="154"/>
      <c r="AA44" s="155">
        <v>1</v>
      </c>
      <c r="AB44" s="156">
        <v>0.3</v>
      </c>
      <c r="AC44" s="212"/>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c r="DP44" s="208"/>
      <c r="DQ44" s="208"/>
      <c r="DR44" s="208"/>
      <c r="DS44" s="208"/>
      <c r="DT44" s="208"/>
      <c r="DU44" s="208"/>
      <c r="DV44" s="208"/>
      <c r="DW44" s="208"/>
      <c r="DX44" s="208"/>
      <c r="DY44" s="208"/>
      <c r="DZ44" s="208"/>
      <c r="EA44" s="208"/>
      <c r="EB44" s="208"/>
      <c r="EC44" s="208"/>
      <c r="ED44" s="208"/>
      <c r="EE44" s="208"/>
      <c r="EF44" s="208"/>
      <c r="EG44" s="208"/>
      <c r="EH44" s="208"/>
      <c r="EI44" s="208"/>
      <c r="EJ44" s="208"/>
      <c r="EK44" s="208" t="str">
        <f>J44 &amp; " " &amp; IF(M44="","",TEXT(M44,"M/D-")) &amp; IF(N44="","",TEXT(N44,"M/D")) &amp; " "</f>
        <v xml:space="preserve">음성 텍스트화 3/4-3/17 </v>
      </c>
      <c r="EL44" s="207"/>
      <c r="EM44" s="208"/>
      <c r="EN44" s="208"/>
      <c r="EO44" s="208"/>
      <c r="EP44" s="207" t="str">
        <f>TEXT(AB44,"#0.00%") &amp; " "</f>
        <v xml:space="preserve">30.00% </v>
      </c>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4" t="s">
        <v>1105</v>
      </c>
      <c r="K45" s="148"/>
      <c r="L45" s="148"/>
      <c r="M45" s="126">
        <v>43542</v>
      </c>
      <c r="N45" s="126">
        <v>43548</v>
      </c>
      <c r="O45" s="148"/>
      <c r="P45" s="149">
        <v>7</v>
      </c>
      <c r="Q45" s="149">
        <v>1</v>
      </c>
      <c r="R45" s="150">
        <f ca="1">IF(M45="","0",(N45-M45+1)-COUNTIFS(INDIRECT(getCalendarRange(O45)),"&gt;=" &amp; M45,INDIRECT(getCalendarRange(O45)),"&lt;=" &amp; N45))</f>
        <v>7</v>
      </c>
      <c r="S45" s="150">
        <f ca="1">IF(M45&gt;TODAY(),0,IF(N45&lt;TODAY(),R45,(TODAY()-M45+1)-COUNTIFS(INDIRECT(getCalendarRange(O45)),"&gt;=" &amp; M45,INDIRECT(getCalendarRange(O45)),"&lt;=" &amp; TODAY())))</f>
        <v>1</v>
      </c>
      <c r="T45" s="126"/>
      <c r="U45" s="126"/>
      <c r="V45" s="151"/>
      <c r="W45" s="152" t="str">
        <f ca="1">IF(U45="","0",IF(T45="","0",(U45-T45+1)-COUNTIFS(INDIRECT(getCalendarRange(O45)),"&gt;=" &amp; T45,INDIRECT(getCalendarRange(O45)),"&lt;=" &amp; U45)))</f>
        <v>0</v>
      </c>
      <c r="X45" s="153">
        <v>1</v>
      </c>
      <c r="Y45" s="183" t="s">
        <v>1086</v>
      </c>
      <c r="Z45" s="154"/>
      <c r="AA45" s="155">
        <v>0.14285714285714285</v>
      </c>
      <c r="AB45" s="156">
        <v>0</v>
      </c>
      <c r="AC45" s="212"/>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c r="DQ45" s="208"/>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t="str">
        <f>J45 &amp; " " &amp; IF(M45="","",TEXT(M45,"M/D-")) &amp; IF(N45="","",TEXT(N45,"M/D")) &amp; " "</f>
        <v xml:space="preserve">이미지 분석 3/18-3/24 </v>
      </c>
      <c r="EZ45" s="207" t="str">
        <f>TEXT(AB45,"#0.00%") &amp; " "</f>
        <v xml:space="preserve">0.00% </v>
      </c>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1131</v>
      </c>
      <c r="E46" s="148"/>
      <c r="F46" s="148"/>
      <c r="G46" s="148"/>
      <c r="H46" s="148"/>
      <c r="I46" s="148"/>
      <c r="J46" s="148" t="s">
        <v>1087</v>
      </c>
      <c r="K46" s="148"/>
      <c r="L46" s="148"/>
      <c r="M46" s="126">
        <v>43505</v>
      </c>
      <c r="N46" s="126">
        <v>43548</v>
      </c>
      <c r="O46" s="148"/>
      <c r="P46" s="149">
        <v>44</v>
      </c>
      <c r="Q46" s="149">
        <v>38</v>
      </c>
      <c r="R46" s="150">
        <f ca="1">IF(M46="","0",(N46-M46+1)-COUNTIFS(INDIRECT(getCalendarRange(O46)),"&gt;=" &amp; M46,INDIRECT(getCalendarRange(O46)),"&lt;=" &amp; N46))</f>
        <v>44</v>
      </c>
      <c r="S46" s="150">
        <f ca="1">IF(M46&gt;TODAY(),0,IF(N46&lt;TODAY(),R46,(TODAY()-M46+1)-COUNTIFS(INDIRECT(getCalendarRange(O46)),"&gt;=" &amp; M46,INDIRECT(getCalendarRange(O46)),"&lt;=" &amp; TODAY())))</f>
        <v>38</v>
      </c>
      <c r="T46" s="126"/>
      <c r="U46" s="126"/>
      <c r="V46" s="151"/>
      <c r="W46" s="152" t="str">
        <f ca="1">IF(U46="","0",IF(T46="","0",(U46-T46+1)-COUNTIFS(INDIRECT(getCalendarRange(O46)),"&gt;=" &amp; T46,INDIRECT(getCalendarRange(O46)),"&lt;=" &amp; U46)))</f>
        <v>0</v>
      </c>
      <c r="X46" s="153">
        <v>1</v>
      </c>
      <c r="Y46" s="183" t="s">
        <v>1161</v>
      </c>
      <c r="Z46" s="154"/>
      <c r="AA46" s="155">
        <v>0.86363636363636365</v>
      </c>
      <c r="AB46" s="156">
        <v>0</v>
      </c>
      <c r="AC46" s="212"/>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t="str">
        <f>J46 &amp; " " &amp; IF(M46="","",TEXT(M46,"M/D-")) &amp; IF(N46="","",TEXT(N46,"M/D")) &amp; " "</f>
        <v xml:space="preserve">chatbot 2/9-3/24 </v>
      </c>
      <c r="DO46" s="207" t="str">
        <f>TEXT(AB46,"#0.00%") &amp; " "</f>
        <v xml:space="preserve">0.00% </v>
      </c>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c r="FF46" s="208"/>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c r="C47" s="147">
        <v>6</v>
      </c>
      <c r="D47" s="157" t="s">
        <v>1188</v>
      </c>
      <c r="E47" s="148"/>
      <c r="F47" s="148"/>
      <c r="G47" s="148"/>
      <c r="H47" s="148"/>
      <c r="I47" s="148"/>
      <c r="J47" s="183" t="s">
        <v>1130</v>
      </c>
      <c r="K47" s="148"/>
      <c r="L47" s="148"/>
      <c r="M47" s="126">
        <v>43549</v>
      </c>
      <c r="N47" s="126">
        <v>43579</v>
      </c>
      <c r="O47" s="148"/>
      <c r="P47" s="149">
        <v>31</v>
      </c>
      <c r="Q47" s="149">
        <v>0</v>
      </c>
      <c r="R47" s="150">
        <f ca="1">IF(M47="","0",(N47-M47+1)-COUNTIFS(INDIRECT(getCalendarRange(O47)),"&gt;=" &amp; M47,INDIRECT(getCalendarRange(O47)),"&lt;=" &amp; N47))</f>
        <v>31</v>
      </c>
      <c r="S47" s="150">
        <f ca="1">IF(M47&gt;TODAY(),0,IF(N47&lt;TODAY(),R47,(TODAY()-M47+1)-COUNTIFS(INDIRECT(getCalendarRange(O47)),"&gt;=" &amp; M47,INDIRECT(getCalendarRange(O47)),"&lt;=" &amp; TODAY())))</f>
        <v>0</v>
      </c>
      <c r="T47" s="126"/>
      <c r="U47" s="126"/>
      <c r="V47" s="151"/>
      <c r="W47" s="152" t="str">
        <f ca="1">IF(U47="","0",IF(T47="","0",(U47-T47+1)-COUNTIFS(INDIRECT(getCalendarRange(O47)),"&gt;=" &amp; T47,INDIRECT(getCalendarRange(O47)),"&lt;=" &amp; U47)))</f>
        <v>0</v>
      </c>
      <c r="X47" s="153">
        <v>1</v>
      </c>
      <c r="Y47" s="184" t="s">
        <v>1103</v>
      </c>
      <c r="Z47" s="154"/>
      <c r="AA47" s="155">
        <v>0</v>
      </c>
      <c r="AB47" s="156">
        <v>0</v>
      </c>
      <c r="AC47" s="212"/>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c r="DS47" s="208"/>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t="str">
        <f>J47 &amp; " " &amp; IF(M47="","",TEXT(M47,"M/D-")) &amp; IF(N47="","",TEXT(N47,"M/D")) &amp; " "</f>
        <v xml:space="preserve">전반적인 감정 분석 3/25-4/24 </v>
      </c>
      <c r="FG47" s="207" t="str">
        <f>TEXT(AB47,"#0.00%") &amp; " "</f>
        <v xml:space="preserve">0.00% </v>
      </c>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t="s">
        <v>996</v>
      </c>
      <c r="C48" s="147">
        <v>5</v>
      </c>
      <c r="D48" s="157" t="s">
        <v>978</v>
      </c>
      <c r="E48" s="148"/>
      <c r="F48" s="148"/>
      <c r="G48" s="148"/>
      <c r="H48" s="148"/>
      <c r="I48" s="183" t="s">
        <v>1151</v>
      </c>
      <c r="J48" s="148"/>
      <c r="K48" s="148"/>
      <c r="L48" s="148"/>
      <c r="M48" s="126">
        <v>43509</v>
      </c>
      <c r="N48" s="126">
        <v>43580</v>
      </c>
      <c r="O48" s="148"/>
      <c r="P48" s="149">
        <v>115</v>
      </c>
      <c r="Q48" s="149">
        <v>77</v>
      </c>
      <c r="R48" s="150">
        <f ca="1">IF(M48="","0",(N48-M48+1)-COUNTIFS(INDIRECT(getCalendarRange(O48)),"&gt;=" &amp; M48,INDIRECT(getCalendarRange(O48)),"&lt;=" &amp; N48))</f>
        <v>72</v>
      </c>
      <c r="S48" s="150">
        <f ca="1">IF(M48&gt;TODAY(),0,IF(N48&lt;TODAY(),R48,(TODAY()-M48+1)-COUNTIFS(INDIRECT(getCalendarRange(O48)),"&gt;=" &amp; M48,INDIRECT(getCalendarRange(O48)),"&lt;=" &amp; TODAY())))</f>
        <v>34</v>
      </c>
      <c r="T48" s="126"/>
      <c r="U48" s="126"/>
      <c r="V48" s="151">
        <v>0</v>
      </c>
      <c r="W48" s="152" t="str">
        <f ca="1">IF(U48="","0",IF(T48="","0",(U48-T48+1)-COUNTIFS(INDIRECT(getCalendarRange(O48)),"&gt;=" &amp; T48,INDIRECT(getCalendarRange(O48)),"&lt;=" &amp; U48)))</f>
        <v>0</v>
      </c>
      <c r="X48" s="153"/>
      <c r="Y48" s="184" t="s">
        <v>1107</v>
      </c>
      <c r="Z48" s="154"/>
      <c r="AA48" s="155">
        <v>0.66956521739130437</v>
      </c>
      <c r="AB48" s="156">
        <v>0.59304347826086956</v>
      </c>
      <c r="AC48" s="212"/>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I48 &amp; " " &amp; IF(M48="","",TEXT(M48,"M/D-")) &amp; IF(N48="","",TEXT(N48,"M/D")) &amp; " "</f>
        <v xml:space="preserve">라즈베리파이 2/13-4/25 </v>
      </c>
      <c r="DS48" s="207"/>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7" t="str">
        <f>TEXT(AB48,"#0.00%") &amp; " "</f>
        <v xml:space="preserve">59.30% </v>
      </c>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1096</v>
      </c>
      <c r="E49" s="148"/>
      <c r="F49" s="148"/>
      <c r="G49" s="148"/>
      <c r="H49" s="148"/>
      <c r="I49" s="148"/>
      <c r="J49" s="183" t="s">
        <v>1154</v>
      </c>
      <c r="K49" s="148"/>
      <c r="L49" s="148"/>
      <c r="M49" s="126">
        <v>43509</v>
      </c>
      <c r="N49" s="126">
        <v>43529</v>
      </c>
      <c r="O49" s="148"/>
      <c r="P49" s="149">
        <v>21</v>
      </c>
      <c r="Q49" s="149">
        <v>21</v>
      </c>
      <c r="R49" s="150">
        <f ca="1">IF(M49="","0",(N49-M49+1)-COUNTIFS(INDIRECT(getCalendarRange(O49)),"&gt;=" &amp; M49,INDIRECT(getCalendarRange(O49)),"&lt;=" &amp; N49))</f>
        <v>21</v>
      </c>
      <c r="S49" s="150">
        <f ca="1">IF(M49&gt;TODAY(),0,IF(N49&lt;TODAY(),R49,(TODAY()-M49+1)-COUNTIFS(INDIRECT(getCalendarRange(O49)),"&gt;=" &amp; M49,INDIRECT(getCalendarRange(O49)),"&lt;=" &amp; TODAY())))</f>
        <v>21</v>
      </c>
      <c r="T49" s="126"/>
      <c r="U49" s="126"/>
      <c r="V49" s="151"/>
      <c r="W49" s="152" t="str">
        <f ca="1">IF(U49="","0",IF(T49="","0",(U49-T49+1)-COUNTIFS(INDIRECT(getCalendarRange(O49)),"&gt;=" &amp; T49,INDIRECT(getCalendarRange(O49)),"&lt;=" &amp; U49)))</f>
        <v>0</v>
      </c>
      <c r="X49" s="153">
        <v>1</v>
      </c>
      <c r="Y49" s="184" t="s">
        <v>1107</v>
      </c>
      <c r="Z49" s="154"/>
      <c r="AA49" s="155">
        <v>1</v>
      </c>
      <c r="AB49" s="156">
        <v>1</v>
      </c>
      <c r="AC49" s="212"/>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t="str">
        <f>J49 &amp; " " &amp; IF(M49="","",TEXT(M49,"M/D-")) &amp; IF(N49="","",TEXT(N49,"M/D")) &amp; " "</f>
        <v xml:space="preserve">OS설치 및 환경구축 2/13-3/5 </v>
      </c>
      <c r="DS49" s="207"/>
      <c r="DT49" s="208"/>
      <c r="DU49" s="208"/>
      <c r="DV49" s="208"/>
      <c r="DW49" s="208"/>
      <c r="DX49" s="208"/>
      <c r="DY49" s="208"/>
      <c r="DZ49" s="208"/>
      <c r="EA49" s="208"/>
      <c r="EB49" s="208"/>
      <c r="EC49" s="208"/>
      <c r="ED49" s="208"/>
      <c r="EE49" s="208"/>
      <c r="EF49" s="208"/>
      <c r="EG49" s="208"/>
      <c r="EH49" s="208"/>
      <c r="EI49" s="208"/>
      <c r="EJ49" s="208"/>
      <c r="EK49" s="208"/>
      <c r="EL49" s="208"/>
      <c r="EM49" s="208"/>
      <c r="EN49" s="207" t="str">
        <f>TEXT(AB49,"#0.00%") &amp; " "</f>
        <v xml:space="preserve">100.00% </v>
      </c>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1097</v>
      </c>
      <c r="E50" s="148"/>
      <c r="F50" s="148"/>
      <c r="G50" s="148"/>
      <c r="H50" s="148"/>
      <c r="I50" s="148"/>
      <c r="J50" s="183" t="s">
        <v>1152</v>
      </c>
      <c r="K50" s="148"/>
      <c r="L50" s="148"/>
      <c r="M50" s="126">
        <v>43510</v>
      </c>
      <c r="N50" s="126">
        <v>43514</v>
      </c>
      <c r="O50" s="148"/>
      <c r="P50" s="149">
        <v>5</v>
      </c>
      <c r="Q50" s="149">
        <v>5</v>
      </c>
      <c r="R50" s="150">
        <f ca="1">IF(M50="","0",(N50-M50+1)-COUNTIFS(INDIRECT(getCalendarRange(O50)),"&gt;=" &amp; M50,INDIRECT(getCalendarRange(O50)),"&lt;=" &amp; N50))</f>
        <v>5</v>
      </c>
      <c r="S50" s="150">
        <f ca="1">IF(M50&gt;TODAY(),0,IF(N50&lt;TODAY(),R50,(TODAY()-M50+1)-COUNTIFS(INDIRECT(getCalendarRange(O50)),"&gt;=" &amp; M50,INDIRECT(getCalendarRange(O50)),"&lt;=" &amp; TODAY())))</f>
        <v>5</v>
      </c>
      <c r="T50" s="126"/>
      <c r="U50" s="126"/>
      <c r="V50" s="151"/>
      <c r="W50" s="152" t="str">
        <f ca="1">IF(U50="","0",IF(T50="","0",(U50-T50+1)-COUNTIFS(INDIRECT(getCalendarRange(O50)),"&gt;=" &amp; T50,INDIRECT(getCalendarRange(O50)),"&lt;=" &amp; U50)))</f>
        <v>0</v>
      </c>
      <c r="X50" s="153">
        <v>1</v>
      </c>
      <c r="Y50" s="184" t="s">
        <v>1107</v>
      </c>
      <c r="Z50" s="154"/>
      <c r="AA50" s="155">
        <v>1</v>
      </c>
      <c r="AB50" s="156">
        <v>1</v>
      </c>
      <c r="AC50" s="212"/>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t="str">
        <f>J50 &amp; " " &amp; IF(M50="","",TEXT(M50,"M/D-")) &amp; IF(N50="","",TEXT(N50,"M/D")) &amp; " "</f>
        <v xml:space="preserve">Respeaker 2/14-2/18 </v>
      </c>
      <c r="DT50" s="207"/>
      <c r="DU50" s="208"/>
      <c r="DV50" s="208"/>
      <c r="DW50" s="208"/>
      <c r="DX50" s="208"/>
      <c r="DY50" s="207" t="str">
        <f>TEXT(AB50,"#0.00%") &amp; " "</f>
        <v xml:space="preserve">100.00% </v>
      </c>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1098</v>
      </c>
      <c r="E51" s="148"/>
      <c r="F51" s="148"/>
      <c r="G51" s="148"/>
      <c r="H51" s="148"/>
      <c r="I51" s="148"/>
      <c r="J51" s="184" t="s">
        <v>1108</v>
      </c>
      <c r="K51" s="148"/>
      <c r="L51" s="148"/>
      <c r="M51" s="126">
        <v>43511</v>
      </c>
      <c r="N51" s="126">
        <v>43516</v>
      </c>
      <c r="O51" s="148"/>
      <c r="P51" s="149">
        <v>6</v>
      </c>
      <c r="Q51" s="149">
        <v>6</v>
      </c>
      <c r="R51" s="150">
        <f ca="1">IF(M51="","0",(N51-M51+1)-COUNTIFS(INDIRECT(getCalendarRange(O51)),"&gt;=" &amp; M51,INDIRECT(getCalendarRange(O51)),"&lt;=" &amp; N51))</f>
        <v>6</v>
      </c>
      <c r="S51" s="150">
        <f ca="1">IF(M51&gt;TODAY(),0,IF(N51&lt;TODAY(),R51,(TODAY()-M51+1)-COUNTIFS(INDIRECT(getCalendarRange(O51)),"&gt;=" &amp; M51,INDIRECT(getCalendarRange(O51)),"&lt;=" &amp; TODAY())))</f>
        <v>6</v>
      </c>
      <c r="T51" s="126"/>
      <c r="U51" s="126"/>
      <c r="V51" s="151"/>
      <c r="W51" s="152" t="str">
        <f ca="1">IF(U51="","0",IF(T51="","0",(U51-T51+1)-COUNTIFS(INDIRECT(getCalendarRange(O51)),"&gt;=" &amp; T51,INDIRECT(getCalendarRange(O51)),"&lt;=" &amp; U51)))</f>
        <v>0</v>
      </c>
      <c r="X51" s="153">
        <v>1</v>
      </c>
      <c r="Y51" s="184" t="s">
        <v>1107</v>
      </c>
      <c r="Z51" s="154"/>
      <c r="AA51" s="155">
        <v>1</v>
      </c>
      <c r="AB51" s="156">
        <v>1</v>
      </c>
      <c r="AC51" s="212"/>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t="str">
        <f>J51 &amp; " " &amp; IF(M51="","",TEXT(M51,"M/D-")) &amp; IF(N51="","",TEXT(N51,"M/D")) &amp; " "</f>
        <v xml:space="preserve">초음파 가습기 2/15-2/20 </v>
      </c>
      <c r="DU51" s="207"/>
      <c r="DV51" s="208"/>
      <c r="DW51" s="208"/>
      <c r="DX51" s="208"/>
      <c r="DY51" s="208"/>
      <c r="DZ51" s="208"/>
      <c r="EA51" s="207" t="str">
        <f>TEXT(AB51,"#0.00%") &amp; " "</f>
        <v xml:space="preserve">100.00% </v>
      </c>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1099</v>
      </c>
      <c r="E52" s="148"/>
      <c r="F52" s="148"/>
      <c r="G52" s="148"/>
      <c r="H52" s="148"/>
      <c r="I52" s="148"/>
      <c r="J52" s="183" t="s">
        <v>1091</v>
      </c>
      <c r="K52" s="148"/>
      <c r="L52" s="148"/>
      <c r="M52" s="126">
        <v>43512</v>
      </c>
      <c r="N52" s="126">
        <v>43514</v>
      </c>
      <c r="O52" s="148"/>
      <c r="P52" s="149">
        <v>3</v>
      </c>
      <c r="Q52" s="149">
        <v>3</v>
      </c>
      <c r="R52" s="150">
        <f ca="1">IF(M52="","0",(N52-M52+1)-COUNTIFS(INDIRECT(getCalendarRange(O52)),"&gt;=" &amp; M52,INDIRECT(getCalendarRange(O52)),"&lt;=" &amp; N52))</f>
        <v>3</v>
      </c>
      <c r="S52" s="150">
        <f ca="1">IF(M52&gt;TODAY(),0,IF(N52&lt;TODAY(),R52,(TODAY()-M52+1)-COUNTIFS(INDIRECT(getCalendarRange(O52)),"&gt;=" &amp; M52,INDIRECT(getCalendarRange(O52)),"&lt;=" &amp; TODAY())))</f>
        <v>3</v>
      </c>
      <c r="T52" s="126"/>
      <c r="U52" s="126"/>
      <c r="V52" s="151"/>
      <c r="W52" s="152" t="str">
        <f ca="1">IF(U52="","0",IF(T52="","0",(U52-T52+1)-COUNTIFS(INDIRECT(getCalendarRange(O52)),"&gt;=" &amp; T52,INDIRECT(getCalendarRange(O52)),"&lt;=" &amp; U52)))</f>
        <v>0</v>
      </c>
      <c r="X52" s="153">
        <v>1</v>
      </c>
      <c r="Y52" s="184" t="s">
        <v>1107</v>
      </c>
      <c r="Z52" s="154"/>
      <c r="AA52" s="155">
        <v>1</v>
      </c>
      <c r="AB52" s="156">
        <v>1</v>
      </c>
      <c r="AC52" s="212"/>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t="str">
        <f>J52 &amp; " " &amp; IF(M52="","",TEXT(M52,"M/D-")) &amp; IF(N52="","",TEXT(N52,"M/D")) &amp; " "</f>
        <v xml:space="preserve">고정밀 온습도 센서 2/16-2/18 </v>
      </c>
      <c r="DV52" s="207"/>
      <c r="DW52" s="208"/>
      <c r="DX52" s="208"/>
      <c r="DY52" s="207" t="str">
        <f>TEXT(AB52,"#0.00%") &amp; " "</f>
        <v xml:space="preserve">100.00% </v>
      </c>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1100</v>
      </c>
      <c r="E53" s="148"/>
      <c r="F53" s="148"/>
      <c r="G53" s="148"/>
      <c r="H53" s="148"/>
      <c r="I53" s="148"/>
      <c r="J53" s="183" t="s">
        <v>1093</v>
      </c>
      <c r="K53" s="148"/>
      <c r="L53" s="148"/>
      <c r="M53" s="126">
        <v>43513</v>
      </c>
      <c r="N53" s="126">
        <v>43524</v>
      </c>
      <c r="O53" s="148"/>
      <c r="P53" s="149">
        <v>12</v>
      </c>
      <c r="Q53" s="149">
        <v>12</v>
      </c>
      <c r="R53" s="150">
        <f ca="1">IF(M53="","0",(N53-M53+1)-COUNTIFS(INDIRECT(getCalendarRange(O53)),"&gt;=" &amp; M53,INDIRECT(getCalendarRange(O53)),"&lt;=" &amp; N53))</f>
        <v>12</v>
      </c>
      <c r="S53" s="150">
        <f ca="1">IF(M53&gt;TODAY(),0,IF(N53&lt;TODAY(),R53,(TODAY()-M53+1)-COUNTIFS(INDIRECT(getCalendarRange(O53)),"&gt;=" &amp; M53,INDIRECT(getCalendarRange(O53)),"&lt;=" &amp; TODAY())))</f>
        <v>12</v>
      </c>
      <c r="T53" s="126"/>
      <c r="U53" s="126"/>
      <c r="V53" s="151"/>
      <c r="W53" s="152" t="str">
        <f ca="1">IF(U53="","0",IF(T53="","0",(U53-T53+1)-COUNTIFS(INDIRECT(getCalendarRange(O53)),"&gt;=" &amp; T53,INDIRECT(getCalendarRange(O53)),"&lt;=" &amp; U53)))</f>
        <v>0</v>
      </c>
      <c r="X53" s="153">
        <v>1</v>
      </c>
      <c r="Y53" s="184" t="s">
        <v>1107</v>
      </c>
      <c r="Z53" s="154"/>
      <c r="AA53" s="155">
        <v>1</v>
      </c>
      <c r="AB53" s="156">
        <v>1</v>
      </c>
      <c r="AC53" s="212"/>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t="str">
        <f>J53 &amp; " " &amp; IF(M53="","",TEXT(M53,"M/D-")) &amp; IF(N53="","",TEXT(N53,"M/D")) &amp; " "</f>
        <v xml:space="preserve">LED 2/17-2/28 </v>
      </c>
      <c r="DW53" s="207"/>
      <c r="DX53" s="208"/>
      <c r="DY53" s="208"/>
      <c r="DZ53" s="208"/>
      <c r="EA53" s="208"/>
      <c r="EB53" s="208"/>
      <c r="EC53" s="208"/>
      <c r="ED53" s="208"/>
      <c r="EE53" s="208"/>
      <c r="EF53" s="208"/>
      <c r="EG53" s="208"/>
      <c r="EH53" s="208"/>
      <c r="EI53" s="207" t="str">
        <f>TEXT(AB53,"#0.00%") &amp; " "</f>
        <v xml:space="preserve">100.00% </v>
      </c>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1101</v>
      </c>
      <c r="E54" s="148"/>
      <c r="F54" s="148"/>
      <c r="G54" s="148"/>
      <c r="H54" s="148"/>
      <c r="I54" s="148"/>
      <c r="J54" s="183" t="s">
        <v>1092</v>
      </c>
      <c r="K54" s="148"/>
      <c r="L54" s="148"/>
      <c r="M54" s="126">
        <v>43514</v>
      </c>
      <c r="N54" s="126">
        <v>43529</v>
      </c>
      <c r="O54" s="148"/>
      <c r="P54" s="149">
        <v>16</v>
      </c>
      <c r="Q54" s="149">
        <v>16</v>
      </c>
      <c r="R54" s="150">
        <f ca="1">IF(M54="","0",(N54-M54+1)-COUNTIFS(INDIRECT(getCalendarRange(O54)),"&gt;=" &amp; M54,INDIRECT(getCalendarRange(O54)),"&lt;=" &amp; N54))</f>
        <v>16</v>
      </c>
      <c r="S54" s="150">
        <f ca="1">IF(M54&gt;TODAY(),0,IF(N54&lt;TODAY(),R54,(TODAY()-M54+1)-COUNTIFS(INDIRECT(getCalendarRange(O54)),"&gt;=" &amp; M54,INDIRECT(getCalendarRange(O54)),"&lt;=" &amp; TODAY())))</f>
        <v>16</v>
      </c>
      <c r="T54" s="126"/>
      <c r="U54" s="126"/>
      <c r="V54" s="151"/>
      <c r="W54" s="152" t="str">
        <f ca="1">IF(U54="","0",IF(T54="","0",(U54-T54+1)-COUNTIFS(INDIRECT(getCalendarRange(O54)),"&gt;=" &amp; T54,INDIRECT(getCalendarRange(O54)),"&lt;=" &amp; U54)))</f>
        <v>0</v>
      </c>
      <c r="X54" s="153">
        <v>1</v>
      </c>
      <c r="Y54" s="184" t="s">
        <v>1107</v>
      </c>
      <c r="Z54" s="154"/>
      <c r="AA54" s="155">
        <v>1</v>
      </c>
      <c r="AB54" s="156">
        <v>1</v>
      </c>
      <c r="AC54" s="212"/>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t="str">
        <f>J54 &amp; " " &amp; IF(M54="","",TEXT(M54,"M/D-")) &amp; IF(N54="","",TEXT(N54,"M/D")) &amp; " "</f>
        <v xml:space="preserve">멀티채널 가스센서 2/18-3/5 </v>
      </c>
      <c r="DX54" s="207"/>
      <c r="DY54" s="208"/>
      <c r="DZ54" s="208"/>
      <c r="EA54" s="208"/>
      <c r="EB54" s="208"/>
      <c r="EC54" s="208"/>
      <c r="ED54" s="208"/>
      <c r="EE54" s="208"/>
      <c r="EF54" s="208"/>
      <c r="EG54" s="208"/>
      <c r="EH54" s="208"/>
      <c r="EI54" s="208"/>
      <c r="EJ54" s="208"/>
      <c r="EK54" s="208"/>
      <c r="EL54" s="208"/>
      <c r="EM54" s="208"/>
      <c r="EN54" s="207" t="str">
        <f>TEXT(AB54,"#0.00%") &amp; " "</f>
        <v xml:space="preserve">100.00% </v>
      </c>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c r="C55" s="147">
        <v>6</v>
      </c>
      <c r="D55" s="157" t="s">
        <v>1134</v>
      </c>
      <c r="E55" s="148"/>
      <c r="F55" s="148"/>
      <c r="G55" s="148"/>
      <c r="H55" s="148"/>
      <c r="I55" s="148"/>
      <c r="J55" s="183" t="s">
        <v>1135</v>
      </c>
      <c r="K55" s="148"/>
      <c r="L55" s="148"/>
      <c r="M55" s="126">
        <v>43529</v>
      </c>
      <c r="N55" s="126">
        <v>43580</v>
      </c>
      <c r="O55" s="148"/>
      <c r="P55" s="149">
        <v>52</v>
      </c>
      <c r="Q55" s="149">
        <v>14</v>
      </c>
      <c r="R55" s="150">
        <f ca="1">IF(M55="","0",(N55-M55+1)-COUNTIFS(INDIRECT(getCalendarRange(O55)),"&gt;=" &amp; M55,INDIRECT(getCalendarRange(O55)),"&lt;=" &amp; N55))</f>
        <v>52</v>
      </c>
      <c r="S55" s="150">
        <f ca="1">IF(M55&gt;TODAY(),0,IF(N55&lt;TODAY(),R55,(TODAY()-M55+1)-COUNTIFS(INDIRECT(getCalendarRange(O55)),"&gt;=" &amp; M55,INDIRECT(getCalendarRange(O55)),"&lt;=" &amp; TODAY())))</f>
        <v>14</v>
      </c>
      <c r="T55" s="126"/>
      <c r="U55" s="126"/>
      <c r="V55" s="151"/>
      <c r="W55" s="152" t="str">
        <f ca="1">IF(U55="","0",IF(T55="","0",(U55-T55+1)-COUNTIFS(INDIRECT(getCalendarRange(O55)),"&gt;=" &amp; T55,INDIRECT(getCalendarRange(O55)),"&lt;=" &amp; U55)))</f>
        <v>0</v>
      </c>
      <c r="X55" s="153">
        <v>1</v>
      </c>
      <c r="Y55" s="184" t="s">
        <v>1107</v>
      </c>
      <c r="Z55" s="154"/>
      <c r="AA55" s="155">
        <v>0.26923076923076922</v>
      </c>
      <c r="AB55" s="156">
        <v>0.1</v>
      </c>
      <c r="AC55" s="212"/>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c r="DG55" s="208"/>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t="str">
        <f>J55 &amp; " " &amp; IF(M55="","",TEXT(M55,"M/D-")) &amp; IF(N55="","",TEXT(N55,"M/D")) &amp; " "</f>
        <v xml:space="preserve">디퓨저 디자인 3/5-4/25 </v>
      </c>
      <c r="EM55" s="207"/>
      <c r="EN55" s="208"/>
      <c r="EO55" s="208"/>
      <c r="EP55" s="208"/>
      <c r="EQ55" s="208"/>
      <c r="ER55" s="207" t="str">
        <f>TEXT(AB55,"#0.00%") &amp; " "</f>
        <v xml:space="preserve">10.00% </v>
      </c>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5</v>
      </c>
      <c r="D56" s="157" t="s">
        <v>979</v>
      </c>
      <c r="E56" s="148"/>
      <c r="F56" s="148"/>
      <c r="G56" s="148"/>
      <c r="H56" s="148"/>
      <c r="I56" s="184" t="s">
        <v>1109</v>
      </c>
      <c r="J56" s="148"/>
      <c r="K56" s="148"/>
      <c r="L56" s="148"/>
      <c r="M56" s="126">
        <v>43522</v>
      </c>
      <c r="N56" s="126">
        <v>43623</v>
      </c>
      <c r="O56" s="148"/>
      <c r="P56" s="149">
        <v>221</v>
      </c>
      <c r="Q56" s="149">
        <v>68</v>
      </c>
      <c r="R56" s="150">
        <f ca="1">IF(M56="","0",(N56-M56+1)-COUNTIFS(INDIRECT(getCalendarRange(O56)),"&gt;=" &amp; M56,INDIRECT(getCalendarRange(O56)),"&lt;=" &amp; N56))</f>
        <v>102</v>
      </c>
      <c r="S56" s="150">
        <f ca="1">IF(M56&gt;TODAY(),0,IF(N56&lt;TODAY(),R56,(TODAY()-M56+1)-COUNTIFS(INDIRECT(getCalendarRange(O56)),"&gt;=" &amp; M56,INDIRECT(getCalendarRange(O56)),"&lt;=" &amp; TODAY())))</f>
        <v>21</v>
      </c>
      <c r="T56" s="126"/>
      <c r="U56" s="126"/>
      <c r="V56" s="151">
        <v>0</v>
      </c>
      <c r="W56" s="152" t="str">
        <f ca="1">IF(U56="","0",IF(T56="","0",(U56-T56+1)-COUNTIFS(INDIRECT(getCalendarRange(O56)),"&gt;=" &amp; T56,INDIRECT(getCalendarRange(O56)),"&lt;=" &amp; U56)))</f>
        <v>0</v>
      </c>
      <c r="X56" s="153"/>
      <c r="Y56" s="183" t="s">
        <v>1112</v>
      </c>
      <c r="Z56" s="154"/>
      <c r="AA56" s="155">
        <v>0.30769230769230771</v>
      </c>
      <c r="AB56" s="156">
        <v>0.32217194570135749</v>
      </c>
      <c r="AC56" s="212"/>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c r="DG56" s="208"/>
      <c r="DH56" s="208"/>
      <c r="DI56" s="208"/>
      <c r="DJ56" s="208"/>
      <c r="DK56" s="208"/>
      <c r="DL56" s="208"/>
      <c r="DM56" s="208"/>
      <c r="DN56" s="208"/>
      <c r="DO56" s="208"/>
      <c r="DP56" s="208"/>
      <c r="DQ56" s="208"/>
      <c r="DR56" s="208"/>
      <c r="DS56" s="208"/>
      <c r="DT56" s="208"/>
      <c r="DU56" s="207"/>
      <c r="DV56" s="208"/>
      <c r="DW56" s="208"/>
      <c r="DX56" s="208"/>
      <c r="DY56" s="208"/>
      <c r="DZ56" s="208"/>
      <c r="EA56" s="208"/>
      <c r="EB56" s="208"/>
      <c r="EC56" s="208"/>
      <c r="ED56" s="208"/>
      <c r="EE56" s="208" t="str">
        <f>I56 &amp; " " &amp; IF(M56="","",TEXT(M56,"M/D-")) &amp; IF(N56="","",TEXT(N56,"M/D")) &amp; " "</f>
        <v xml:space="preserve">사이트 개발 2/26-6/7 </v>
      </c>
      <c r="EF56" s="207"/>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7" t="str">
        <f>TEXT(AB56,"#0.00%") &amp; " "</f>
        <v xml:space="preserve">32.22% </v>
      </c>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t="s">
        <v>996</v>
      </c>
      <c r="C57" s="147">
        <v>6</v>
      </c>
      <c r="D57" s="157" t="s">
        <v>1102</v>
      </c>
      <c r="E57" s="148"/>
      <c r="F57" s="148"/>
      <c r="G57" s="148"/>
      <c r="H57" s="148"/>
      <c r="I57" s="148"/>
      <c r="J57" s="183" t="s">
        <v>1095</v>
      </c>
      <c r="K57" s="148"/>
      <c r="L57" s="148"/>
      <c r="M57" s="126">
        <v>43522</v>
      </c>
      <c r="N57" s="126">
        <v>43623</v>
      </c>
      <c r="O57" s="148"/>
      <c r="P57" s="149">
        <v>221</v>
      </c>
      <c r="Q57" s="149">
        <v>68</v>
      </c>
      <c r="R57" s="150">
        <f ca="1">IF(M57="","0",(N57-M57+1)-COUNTIFS(INDIRECT(getCalendarRange(O57)),"&gt;=" &amp; M57,INDIRECT(getCalendarRange(O57)),"&lt;=" &amp; N57))</f>
        <v>102</v>
      </c>
      <c r="S57" s="150">
        <f ca="1">IF(M57&gt;TODAY(),0,IF(N57&lt;TODAY(),R57,(TODAY()-M57+1)-COUNTIFS(INDIRECT(getCalendarRange(O57)),"&gt;=" &amp; M57,INDIRECT(getCalendarRange(O57)),"&lt;=" &amp; TODAY())))</f>
        <v>21</v>
      </c>
      <c r="T57" s="126"/>
      <c r="U57" s="126"/>
      <c r="V57" s="151">
        <v>0</v>
      </c>
      <c r="W57" s="152" t="str">
        <f ca="1">IF(U57="","0",IF(T57="","0",(U57-T57+1)-COUNTIFS(INDIRECT(getCalendarRange(O57)),"&gt;=" &amp; T57,INDIRECT(getCalendarRange(O57)),"&lt;=" &amp; U57)))</f>
        <v>0</v>
      </c>
      <c r="X57" s="153"/>
      <c r="Y57" s="183" t="s">
        <v>1112</v>
      </c>
      <c r="Z57" s="154"/>
      <c r="AA57" s="155">
        <v>0.30769230769230771</v>
      </c>
      <c r="AB57" s="156">
        <v>0.32217194570135749</v>
      </c>
      <c r="AC57" s="212"/>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8"/>
      <c r="DH57" s="208"/>
      <c r="DI57" s="208"/>
      <c r="DJ57" s="208"/>
      <c r="DK57" s="208"/>
      <c r="DL57" s="208"/>
      <c r="DM57" s="208"/>
      <c r="DN57" s="208"/>
      <c r="DO57" s="208"/>
      <c r="DP57" s="208"/>
      <c r="DQ57" s="208"/>
      <c r="DR57" s="208"/>
      <c r="DS57" s="208"/>
      <c r="DT57" s="208"/>
      <c r="DU57" s="207"/>
      <c r="DV57" s="208"/>
      <c r="DW57" s="208"/>
      <c r="DX57" s="208"/>
      <c r="DY57" s="208"/>
      <c r="DZ57" s="208"/>
      <c r="EA57" s="208"/>
      <c r="EB57" s="208"/>
      <c r="EC57" s="208"/>
      <c r="ED57" s="208"/>
      <c r="EE57" s="208" t="str">
        <f>J57 &amp; " " &amp; IF(M57="","",TEXT(M57,"M/D-")) &amp; IF(N57="","",TEXT(N57,"M/D")) &amp; " "</f>
        <v xml:space="preserve">Vue.js 구현 2/26-6/7 </v>
      </c>
      <c r="EF57" s="207"/>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7" t="str">
        <f>TEXT(AB57,"#0.00%") &amp; " "</f>
        <v xml:space="preserve">32.22% </v>
      </c>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1176</v>
      </c>
      <c r="E58" s="148"/>
      <c r="F58" s="148"/>
      <c r="G58" s="148"/>
      <c r="H58" s="148"/>
      <c r="I58" s="148"/>
      <c r="J58" s="183"/>
      <c r="K58" s="213" t="s">
        <v>1170</v>
      </c>
      <c r="L58" s="214"/>
      <c r="M58" s="126">
        <v>43522</v>
      </c>
      <c r="N58" s="126">
        <v>43567</v>
      </c>
      <c r="O58" s="148"/>
      <c r="P58" s="149">
        <v>46</v>
      </c>
      <c r="Q58" s="149">
        <v>21</v>
      </c>
      <c r="R58" s="150">
        <f ca="1">IF(M58="","0",(N58-M58+1)-COUNTIFS(INDIRECT(getCalendarRange(O58)),"&gt;=" &amp; M58,INDIRECT(getCalendarRange(O58)),"&lt;=" &amp; N58))</f>
        <v>46</v>
      </c>
      <c r="S58" s="150">
        <f ca="1">IF(M58&gt;TODAY(),0,IF(N58&lt;TODAY(),R58,(TODAY()-M58+1)-COUNTIFS(INDIRECT(getCalendarRange(O58)),"&gt;=" &amp; M58,INDIRECT(getCalendarRange(O58)),"&lt;=" &amp; TODAY())))</f>
        <v>21</v>
      </c>
      <c r="T58" s="126"/>
      <c r="U58" s="126"/>
      <c r="V58" s="151"/>
      <c r="W58" s="152" t="str">
        <f ca="1">IF(U58="","0",IF(T58="","0",(U58-T58+1)-COUNTIFS(INDIRECT(getCalendarRange(O58)),"&gt;=" &amp; T58,INDIRECT(getCalendarRange(O58)),"&lt;=" &amp; U58)))</f>
        <v>0</v>
      </c>
      <c r="X58" s="153">
        <v>1</v>
      </c>
      <c r="Y58" s="183" t="s">
        <v>1112</v>
      </c>
      <c r="Z58" s="154"/>
      <c r="AA58" s="155">
        <v>0.45652173913043476</v>
      </c>
      <c r="AB58" s="156">
        <v>0.8</v>
      </c>
      <c r="AC58" s="212"/>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c r="DG58" s="208"/>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t="str">
        <f>K58 &amp; " " &amp; IF(M58="","",TEXT(M58,"M/D-")) &amp; IF(N58="","",TEXT(N58,"M/D")) &amp; " "</f>
        <v xml:space="preserve">메인페이지 2/26-4/12 </v>
      </c>
      <c r="EF58" s="207"/>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7" t="str">
        <f>TEXT(AB58,"#0.00%") &amp; " "</f>
        <v xml:space="preserve">80.00% </v>
      </c>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1177</v>
      </c>
      <c r="E59" s="148"/>
      <c r="F59" s="148"/>
      <c r="G59" s="148"/>
      <c r="H59" s="148"/>
      <c r="I59" s="148"/>
      <c r="J59" s="183"/>
      <c r="K59" s="183" t="s">
        <v>1171</v>
      </c>
      <c r="L59" s="183"/>
      <c r="M59" s="126">
        <v>43523</v>
      </c>
      <c r="N59" s="126">
        <v>43544</v>
      </c>
      <c r="O59" s="148"/>
      <c r="P59" s="149">
        <v>22</v>
      </c>
      <c r="Q59" s="149">
        <v>20</v>
      </c>
      <c r="R59" s="150">
        <f ca="1">IF(M59="","0",(N59-M59+1)-COUNTIFS(INDIRECT(getCalendarRange(O59)),"&gt;=" &amp; M59,INDIRECT(getCalendarRange(O59)),"&lt;=" &amp; N59))</f>
        <v>22</v>
      </c>
      <c r="S59" s="150">
        <f ca="1">IF(M59&gt;TODAY(),0,IF(N59&lt;TODAY(),R59,(TODAY()-M59+1)-COUNTIFS(INDIRECT(getCalendarRange(O59)),"&gt;=" &amp; M59,INDIRECT(getCalendarRange(O59)),"&lt;=" &amp; TODAY())))</f>
        <v>20</v>
      </c>
      <c r="T59" s="126"/>
      <c r="U59" s="126"/>
      <c r="V59" s="151"/>
      <c r="W59" s="152" t="str">
        <f ca="1">IF(U59="","0",IF(T59="","0",(U59-T59+1)-COUNTIFS(INDIRECT(getCalendarRange(O59)),"&gt;=" &amp; T59,INDIRECT(getCalendarRange(O59)),"&lt;=" &amp; U59)))</f>
        <v>0</v>
      </c>
      <c r="X59" s="153">
        <v>1</v>
      </c>
      <c r="Y59" s="183" t="s">
        <v>1112</v>
      </c>
      <c r="Z59" s="154"/>
      <c r="AA59" s="155">
        <v>0.90909090909090906</v>
      </c>
      <c r="AB59" s="156">
        <v>0.8</v>
      </c>
      <c r="AC59" s="212"/>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8"/>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t="str">
        <f>K59 &amp; " " &amp; IF(M59="","",TEXT(M59,"M/D-")) &amp; IF(N59="","",TEXT(N59,"M/D")) &amp; " "</f>
        <v xml:space="preserve">제품소개 2/27-3/20 </v>
      </c>
      <c r="EG59" s="207"/>
      <c r="EH59" s="208"/>
      <c r="EI59" s="208"/>
      <c r="EJ59" s="208"/>
      <c r="EK59" s="208"/>
      <c r="EL59" s="208"/>
      <c r="EM59" s="208"/>
      <c r="EN59" s="208"/>
      <c r="EO59" s="208"/>
      <c r="EP59" s="208"/>
      <c r="EQ59" s="208"/>
      <c r="ER59" s="208"/>
      <c r="ES59" s="208"/>
      <c r="ET59" s="208"/>
      <c r="EU59" s="208"/>
      <c r="EV59" s="208"/>
      <c r="EW59" s="208"/>
      <c r="EX59" s="208"/>
      <c r="EY59" s="207" t="str">
        <f>TEXT(AB59,"#0.00%") &amp; " "</f>
        <v xml:space="preserve">80.00% </v>
      </c>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1178</v>
      </c>
      <c r="E60" s="148"/>
      <c r="F60" s="148"/>
      <c r="G60" s="148"/>
      <c r="H60" s="148"/>
      <c r="I60" s="148"/>
      <c r="J60" s="183"/>
      <c r="K60" s="183" t="s">
        <v>1114</v>
      </c>
      <c r="L60" s="148"/>
      <c r="M60" s="126">
        <v>43524</v>
      </c>
      <c r="N60" s="126">
        <v>43531</v>
      </c>
      <c r="O60" s="148"/>
      <c r="P60" s="149">
        <v>8</v>
      </c>
      <c r="Q60" s="149">
        <v>8</v>
      </c>
      <c r="R60" s="150">
        <f ca="1">IF(M60="","0",(N60-M60+1)-COUNTIFS(INDIRECT(getCalendarRange(O60)),"&gt;=" &amp; M60,INDIRECT(getCalendarRange(O60)),"&lt;=" &amp; N60))</f>
        <v>8</v>
      </c>
      <c r="S60" s="150">
        <f ca="1">IF(M60&gt;TODAY(),0,IF(N60&lt;TODAY(),R60,(TODAY()-M60+1)-COUNTIFS(INDIRECT(getCalendarRange(O60)),"&gt;=" &amp; M60,INDIRECT(getCalendarRange(O60)),"&lt;=" &amp; TODAY())))</f>
        <v>8</v>
      </c>
      <c r="T60" s="126"/>
      <c r="U60" s="126"/>
      <c r="V60" s="151"/>
      <c r="W60" s="152" t="str">
        <f ca="1">IF(U60="","0",IF(T60="","0",(U60-T60+1)-COUNTIFS(INDIRECT(getCalendarRange(O60)),"&gt;=" &amp; T60,INDIRECT(getCalendarRange(O60)),"&lt;=" &amp; U60)))</f>
        <v>0</v>
      </c>
      <c r="X60" s="153">
        <v>1</v>
      </c>
      <c r="Y60" s="183" t="s">
        <v>1112</v>
      </c>
      <c r="Z60" s="154"/>
      <c r="AA60" s="155">
        <v>1</v>
      </c>
      <c r="AB60" s="156">
        <v>0</v>
      </c>
      <c r="AC60" s="212"/>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t="str">
        <f>K60 &amp; " " &amp; IF(M60="","",TEXT(M60,"M/D-")) &amp; IF(N60="","",TEXT(N60,"M/D")) &amp; " "</f>
        <v xml:space="preserve">문의사항 2/28-3/7 </v>
      </c>
      <c r="EH60" s="207" t="str">
        <f>TEXT(AB60,"#0.00%") &amp; " "</f>
        <v xml:space="preserve">0.00% </v>
      </c>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c r="FF60" s="208"/>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1179</v>
      </c>
      <c r="E61" s="148"/>
      <c r="F61" s="148"/>
      <c r="G61" s="148"/>
      <c r="H61" s="148"/>
      <c r="I61" s="148"/>
      <c r="J61" s="183"/>
      <c r="K61" s="183" t="s">
        <v>1153</v>
      </c>
      <c r="L61" s="148"/>
      <c r="M61" s="126">
        <v>43555</v>
      </c>
      <c r="N61" s="126">
        <v>43565</v>
      </c>
      <c r="O61" s="148"/>
      <c r="P61" s="149">
        <v>11</v>
      </c>
      <c r="Q61" s="149">
        <v>0</v>
      </c>
      <c r="R61" s="150">
        <f ca="1">IF(M61="","0",(N61-M61+1)-COUNTIFS(INDIRECT(getCalendarRange(O61)),"&gt;=" &amp; M61,INDIRECT(getCalendarRange(O61)),"&lt;=" &amp; N61))</f>
        <v>11</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0</v>
      </c>
      <c r="AB61" s="156">
        <v>0</v>
      </c>
      <c r="AC61" s="212"/>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c r="DM61" s="208"/>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7"/>
      <c r="FG61" s="208"/>
      <c r="FH61" s="208"/>
      <c r="FI61" s="208"/>
      <c r="FJ61" s="208"/>
      <c r="FK61" s="208"/>
      <c r="FL61" s="208" t="str">
        <f>K61 &amp; " " &amp; IF(M61="","",TEXT(M61,"M/D-")) &amp; IF(N61="","",TEXT(N61,"M/D")) &amp; " "</f>
        <v xml:space="preserve">감정 그래프 3/31-4/10 </v>
      </c>
      <c r="FM61" s="207" t="str">
        <f>TEXT(AB61,"#0.00%") &amp; " "</f>
        <v xml:space="preserve">0.00% </v>
      </c>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1180</v>
      </c>
      <c r="E62" s="148"/>
      <c r="F62" s="148"/>
      <c r="G62" s="148"/>
      <c r="H62" s="148"/>
      <c r="I62" s="148"/>
      <c r="J62" s="183"/>
      <c r="K62" s="183" t="s">
        <v>1115</v>
      </c>
      <c r="L62" s="148"/>
      <c r="M62" s="126">
        <v>43545</v>
      </c>
      <c r="N62" s="126">
        <v>43554</v>
      </c>
      <c r="O62" s="148"/>
      <c r="P62" s="149">
        <v>10</v>
      </c>
      <c r="Q62" s="149">
        <v>0</v>
      </c>
      <c r="R62" s="150">
        <f ca="1">IF(M62="","0",(N62-M62+1)-COUNTIFS(INDIRECT(getCalendarRange(O62)),"&gt;=" &amp; M62,INDIRECT(getCalendarRange(O62)),"&lt;=" &amp; N62))</f>
        <v>10</v>
      </c>
      <c r="S62" s="150">
        <f ca="1">IF(M62&gt;TODAY(),0,IF(N62&lt;TODAY(),R62,(TODAY()-M62+1)-COUNTIFS(INDIRECT(getCalendarRange(O62)),"&gt;=" &amp; M62,INDIRECT(getCalendarRange(O62)),"&lt;=" &amp; TODAY())))</f>
        <v>0</v>
      </c>
      <c r="T62" s="126"/>
      <c r="U62" s="126"/>
      <c r="V62" s="151"/>
      <c r="W62" s="152" t="str">
        <f ca="1">IF(U62="","0",IF(T62="","0",(U62-T62+1)-COUNTIFS(INDIRECT(getCalendarRange(O62)),"&gt;=" &amp; T62,INDIRECT(getCalendarRange(O62)),"&lt;=" &amp; U62)))</f>
        <v>0</v>
      </c>
      <c r="X62" s="153">
        <v>1</v>
      </c>
      <c r="Y62" s="183" t="s">
        <v>1112</v>
      </c>
      <c r="Z62" s="154"/>
      <c r="AA62" s="155">
        <v>0</v>
      </c>
      <c r="AB62" s="156">
        <v>0.7</v>
      </c>
      <c r="AC62" s="212"/>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8"/>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t="str">
        <f>K62 &amp; " " &amp; IF(M62="","",TEXT(M62,"M/D-")) &amp; IF(N62="","",TEXT(N62,"M/D")) &amp; " "</f>
        <v xml:space="preserve">디퓨저 판매 3/21-3/30 </v>
      </c>
      <c r="FC62" s="207"/>
      <c r="FD62" s="208"/>
      <c r="FE62" s="208"/>
      <c r="FF62" s="208"/>
      <c r="FG62" s="208"/>
      <c r="FH62" s="208"/>
      <c r="FI62" s="208"/>
      <c r="FJ62" s="207" t="str">
        <f>TEXT(AB62,"#0.00%") &amp; " "</f>
        <v xml:space="preserve">70.00% </v>
      </c>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1181</v>
      </c>
      <c r="E63" s="148"/>
      <c r="F63" s="148"/>
      <c r="G63" s="148"/>
      <c r="H63" s="148"/>
      <c r="I63" s="148"/>
      <c r="J63" s="183"/>
      <c r="K63" s="184" t="s">
        <v>1192</v>
      </c>
      <c r="L63" s="148"/>
      <c r="M63" s="126">
        <v>43525</v>
      </c>
      <c r="N63" s="126">
        <v>43538</v>
      </c>
      <c r="O63" s="148"/>
      <c r="P63" s="149">
        <v>14</v>
      </c>
      <c r="Q63" s="149">
        <v>14</v>
      </c>
      <c r="R63" s="150">
        <f ca="1">IF(M63="","0",(N63-M63+1)-COUNTIFS(INDIRECT(getCalendarRange(O63)),"&gt;=" &amp; M63,INDIRECT(getCalendarRange(O63)),"&lt;=" &amp; N63))</f>
        <v>14</v>
      </c>
      <c r="S63" s="150">
        <f ca="1">IF(M63&gt;TODAY(),0,IF(N63&lt;TODAY(),R63,(TODAY()-M63+1)-COUNTIFS(INDIRECT(getCalendarRange(O63)),"&gt;=" &amp; M63,INDIRECT(getCalendarRange(O63)),"&lt;=" &amp; TODAY())))</f>
        <v>14</v>
      </c>
      <c r="T63" s="126"/>
      <c r="U63" s="126"/>
      <c r="V63" s="151"/>
      <c r="W63" s="152" t="str">
        <f ca="1">IF(U63="","0",IF(T63="","0",(U63-T63+1)-COUNTIFS(INDIRECT(getCalendarRange(O63)),"&gt;=" &amp; T63,INDIRECT(getCalendarRange(O63)),"&lt;=" &amp; U63)))</f>
        <v>0</v>
      </c>
      <c r="X63" s="153">
        <v>1</v>
      </c>
      <c r="Y63" s="183" t="s">
        <v>1112</v>
      </c>
      <c r="Z63" s="154"/>
      <c r="AA63" s="155">
        <v>1</v>
      </c>
      <c r="AB63" s="156">
        <v>0.7</v>
      </c>
      <c r="AC63" s="212"/>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c r="DT63" s="208"/>
      <c r="DU63" s="208"/>
      <c r="DV63" s="208"/>
      <c r="DW63" s="208"/>
      <c r="DX63" s="208"/>
      <c r="DY63" s="208"/>
      <c r="DZ63" s="208"/>
      <c r="EA63" s="208"/>
      <c r="EB63" s="208"/>
      <c r="EC63" s="208"/>
      <c r="ED63" s="208"/>
      <c r="EE63" s="208"/>
      <c r="EF63" s="208"/>
      <c r="EG63" s="208"/>
      <c r="EH63" s="208" t="str">
        <f>K63 &amp; " " &amp; IF(M63="","",TEXT(M63,"M/D-")) &amp; IF(N63="","",TEXT(N63,"M/D")) &amp; " "</f>
        <v xml:space="preserve">리필용액 판매 3/1-3/14 </v>
      </c>
      <c r="EI63" s="207"/>
      <c r="EJ63" s="208"/>
      <c r="EK63" s="208"/>
      <c r="EL63" s="208"/>
      <c r="EM63" s="208"/>
      <c r="EN63" s="208"/>
      <c r="EO63" s="208"/>
      <c r="EP63" s="208"/>
      <c r="EQ63" s="208"/>
      <c r="ER63" s="208"/>
      <c r="ES63" s="207" t="str">
        <f>TEXT(AB63,"#0.00%") &amp; " "</f>
        <v xml:space="preserve">70.00% </v>
      </c>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1182</v>
      </c>
      <c r="E64" s="148"/>
      <c r="F64" s="148"/>
      <c r="G64" s="148"/>
      <c r="H64" s="148"/>
      <c r="I64" s="148"/>
      <c r="J64" s="183"/>
      <c r="K64" s="183" t="s">
        <v>1116</v>
      </c>
      <c r="L64" s="148"/>
      <c r="M64" s="126">
        <v>43542</v>
      </c>
      <c r="N64" s="126">
        <v>43548</v>
      </c>
      <c r="O64" s="148"/>
      <c r="P64" s="149">
        <v>7</v>
      </c>
      <c r="Q64" s="149">
        <v>1</v>
      </c>
      <c r="R64" s="150">
        <f ca="1">IF(M64="","0",(N64-M64+1)-COUNTIFS(INDIRECT(getCalendarRange(O64)),"&gt;=" &amp; M64,INDIRECT(getCalendarRange(O64)),"&lt;=" &amp; N64))</f>
        <v>7</v>
      </c>
      <c r="S64" s="150">
        <f ca="1">IF(M64&gt;TODAY(),0,IF(N64&lt;TODAY(),R64,(TODAY()-M64+1)-COUNTIFS(INDIRECT(getCalendarRange(O64)),"&gt;=" &amp; M64,INDIRECT(getCalendarRange(O64)),"&lt;=" &amp; TODAY())))</f>
        <v>1</v>
      </c>
      <c r="T64" s="126"/>
      <c r="U64" s="126"/>
      <c r="V64" s="151"/>
      <c r="W64" s="152" t="str">
        <f ca="1">IF(U64="","0",IF(T64="","0",(U64-T64+1)-COUNTIFS(INDIRECT(getCalendarRange(O64)),"&gt;=" &amp; T64,INDIRECT(getCalendarRange(O64)),"&lt;=" &amp; U64)))</f>
        <v>0</v>
      </c>
      <c r="X64" s="153">
        <v>1</v>
      </c>
      <c r="Y64" s="183" t="s">
        <v>1112</v>
      </c>
      <c r="Z64" s="154"/>
      <c r="AA64" s="155">
        <v>0.14285714285714285</v>
      </c>
      <c r="AB64" s="156">
        <v>0</v>
      </c>
      <c r="AC64" s="212"/>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7"/>
      <c r="DV64" s="208"/>
      <c r="DW64" s="208"/>
      <c r="DX64" s="208"/>
      <c r="DY64" s="208"/>
      <c r="DZ64" s="208"/>
      <c r="EA64" s="208"/>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t="str">
        <f>K64 &amp; " " &amp; IF(M64="","",TEXT(M64,"M/D-")) &amp; IF(N64="","",TEXT(N64,"M/D")) &amp; " "</f>
        <v xml:space="preserve">장바구니 3/18-3/24 </v>
      </c>
      <c r="EZ64" s="207" t="str">
        <f>TEXT(AB64,"#0.00%") &amp; " "</f>
        <v xml:space="preserve">0.00% </v>
      </c>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1183</v>
      </c>
      <c r="E65" s="148"/>
      <c r="F65" s="148"/>
      <c r="G65" s="148"/>
      <c r="H65" s="148"/>
      <c r="I65" s="148"/>
      <c r="J65" s="183"/>
      <c r="K65" s="183" t="s">
        <v>1110</v>
      </c>
      <c r="L65" s="148"/>
      <c r="M65" s="126">
        <v>43539</v>
      </c>
      <c r="N65" s="126">
        <v>43553</v>
      </c>
      <c r="O65" s="148"/>
      <c r="P65" s="149">
        <v>15</v>
      </c>
      <c r="Q65" s="149">
        <v>4</v>
      </c>
      <c r="R65" s="150">
        <f ca="1">IF(M65="","0",(N65-M65+1)-COUNTIFS(INDIRECT(getCalendarRange(O65)),"&gt;=" &amp; M65,INDIRECT(getCalendarRange(O65)),"&lt;=" &amp; N65))</f>
        <v>15</v>
      </c>
      <c r="S65" s="150">
        <f ca="1">IF(M65&gt;TODAY(),0,IF(N65&lt;TODAY(),R65,(TODAY()-M65+1)-COUNTIFS(INDIRECT(getCalendarRange(O65)),"&gt;=" &amp; M65,INDIRECT(getCalendarRange(O65)),"&lt;=" &amp; TODAY())))</f>
        <v>4</v>
      </c>
      <c r="T65" s="126"/>
      <c r="U65" s="126"/>
      <c r="V65" s="151"/>
      <c r="W65" s="152" t="str">
        <f ca="1">IF(U65="","0",IF(T65="","0",(U65-T65+1)-COUNTIFS(INDIRECT(getCalendarRange(O65)),"&gt;=" &amp; T65,INDIRECT(getCalendarRange(O65)),"&lt;=" &amp; U65)))</f>
        <v>0</v>
      </c>
      <c r="X65" s="153">
        <v>1</v>
      </c>
      <c r="Y65" s="183" t="s">
        <v>1112</v>
      </c>
      <c r="Z65" s="154"/>
      <c r="AA65" s="155">
        <v>0.26666666666666666</v>
      </c>
      <c r="AB65" s="156">
        <v>0</v>
      </c>
      <c r="AC65" s="212"/>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8"/>
      <c r="EI65" s="208"/>
      <c r="EJ65" s="208"/>
      <c r="EK65" s="208"/>
      <c r="EL65" s="208"/>
      <c r="EM65" s="208"/>
      <c r="EN65" s="208"/>
      <c r="EO65" s="208"/>
      <c r="EP65" s="208"/>
      <c r="EQ65" s="208"/>
      <c r="ER65" s="208"/>
      <c r="ES65" s="208"/>
      <c r="ET65" s="208"/>
      <c r="EU65" s="208"/>
      <c r="EV65" s="208" t="str">
        <f>K65 &amp; " " &amp; IF(M65="","",TEXT(M65,"M/D-")) &amp; IF(N65="","",TEXT(N65,"M/D")) &amp; " "</f>
        <v xml:space="preserve">커뮤니티 3/15-3/29 </v>
      </c>
      <c r="EW65" s="207" t="str">
        <f>TEXT(AB65,"#0.00%") &amp; " "</f>
        <v xml:space="preserve">0.00% </v>
      </c>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1184</v>
      </c>
      <c r="E66" s="148"/>
      <c r="F66" s="148"/>
      <c r="G66" s="148"/>
      <c r="H66" s="148"/>
      <c r="I66" s="148"/>
      <c r="J66" s="183"/>
      <c r="K66" s="183" t="s">
        <v>1117</v>
      </c>
      <c r="L66" s="148"/>
      <c r="M66" s="126">
        <v>43555</v>
      </c>
      <c r="N66" s="126">
        <v>43565</v>
      </c>
      <c r="O66" s="148"/>
      <c r="P66" s="149">
        <v>11</v>
      </c>
      <c r="Q66" s="149">
        <v>0</v>
      </c>
      <c r="R66" s="150">
        <f ca="1">IF(M66="","0",(N66-M66+1)-COUNTIFS(INDIRECT(getCalendarRange(O66)),"&gt;=" &amp; M66,INDIRECT(getCalendarRange(O66)),"&lt;=" &amp; N66))</f>
        <v>11</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12"/>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c r="EV66" s="208"/>
      <c r="EW66" s="208"/>
      <c r="EX66" s="208"/>
      <c r="EY66" s="208"/>
      <c r="EZ66" s="208"/>
      <c r="FA66" s="208"/>
      <c r="FB66" s="208"/>
      <c r="FC66" s="208"/>
      <c r="FD66" s="208"/>
      <c r="FE66" s="208"/>
      <c r="FF66" s="208"/>
      <c r="FG66" s="208"/>
      <c r="FH66" s="208"/>
      <c r="FI66" s="208"/>
      <c r="FJ66" s="208"/>
      <c r="FK66" s="208"/>
      <c r="FL66" s="208" t="str">
        <f>K66 &amp; " " &amp; IF(M66="","",TEXT(M66,"M/D-")) &amp; IF(N66="","",TEXT(N66,"M/D")) &amp; " "</f>
        <v xml:space="preserve">검색 3/31-4/10 </v>
      </c>
      <c r="FM66" s="207" t="str">
        <f>TEXT(AB66,"#0.00%") &amp; " "</f>
        <v xml:space="preserve">0.00% </v>
      </c>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1185</v>
      </c>
      <c r="E67" s="148"/>
      <c r="F67" s="148"/>
      <c r="G67" s="148"/>
      <c r="H67" s="148"/>
      <c r="I67" s="148"/>
      <c r="J67" s="184"/>
      <c r="K67" s="183" t="s">
        <v>1111</v>
      </c>
      <c r="L67" s="148"/>
      <c r="M67" s="126">
        <v>43549</v>
      </c>
      <c r="N67" s="126">
        <v>43555</v>
      </c>
      <c r="O67" s="148"/>
      <c r="P67" s="149">
        <v>7</v>
      </c>
      <c r="Q67" s="149">
        <v>0</v>
      </c>
      <c r="R67" s="150">
        <f ca="1">IF(M67="","0",(N67-M67+1)-COUNTIFS(INDIRECT(getCalendarRange(O67)),"&gt;=" &amp; M67,INDIRECT(getCalendarRange(O67)),"&lt;=" &amp; N67))</f>
        <v>7</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1112</v>
      </c>
      <c r="Z67" s="154"/>
      <c r="AA67" s="155">
        <v>0</v>
      </c>
      <c r="AB67" s="156">
        <v>0</v>
      </c>
      <c r="AC67" s="212"/>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7"/>
      <c r="EZ67" s="208"/>
      <c r="FA67" s="208"/>
      <c r="FB67" s="208"/>
      <c r="FC67" s="208"/>
      <c r="FD67" s="208"/>
      <c r="FE67" s="208"/>
      <c r="FF67" s="208" t="str">
        <f>K67 &amp; " " &amp; IF(M67="","",TEXT(M67,"M/D-")) &amp; IF(N67="","",TEXT(N67,"M/D")) &amp; " "</f>
        <v xml:space="preserve">마이페이지 3/25-3/31 </v>
      </c>
      <c r="FG67" s="207" t="str">
        <f>TEXT(AB67,"#0.00%") &amp; " "</f>
        <v xml:space="preserve">0.00% </v>
      </c>
      <c r="FH67" s="208"/>
      <c r="FI67" s="208"/>
      <c r="FJ67" s="208"/>
      <c r="FK67" s="208"/>
      <c r="FL67" s="208"/>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c r="C68" s="147">
        <v>7</v>
      </c>
      <c r="D68" s="157" t="s">
        <v>1186</v>
      </c>
      <c r="E68" s="148"/>
      <c r="F68" s="148"/>
      <c r="G68" s="148"/>
      <c r="H68" s="148"/>
      <c r="I68" s="148"/>
      <c r="J68" s="183"/>
      <c r="K68" s="183" t="s">
        <v>1136</v>
      </c>
      <c r="L68" s="184"/>
      <c r="M68" s="126">
        <v>43554</v>
      </c>
      <c r="N68" s="126">
        <v>43623</v>
      </c>
      <c r="O68" s="148"/>
      <c r="P68" s="149">
        <v>70</v>
      </c>
      <c r="Q68" s="149">
        <v>0</v>
      </c>
      <c r="R68" s="150">
        <f ca="1">IF(M68="","0",(N68-M68+1)-COUNTIFS(INDIRECT(getCalendarRange(O68)),"&gt;=" &amp; M68,INDIRECT(getCalendarRange(O68)),"&lt;=" &amp; N68))</f>
        <v>70</v>
      </c>
      <c r="S68" s="150">
        <f ca="1">IF(M68&gt;TODAY(),0,IF(N68&lt;TODAY(),R68,(TODAY()-M68+1)-COUNTIFS(INDIRECT(getCalendarRange(O68)),"&gt;=" &amp; M68,INDIRECT(getCalendarRange(O68)),"&lt;=" &amp; TODAY())))</f>
        <v>0</v>
      </c>
      <c r="T68" s="126"/>
      <c r="U68" s="126"/>
      <c r="V68" s="151"/>
      <c r="W68" s="152" t="str">
        <f ca="1">IF(U68="","0",IF(T68="","0",(U68-T68+1)-COUNTIFS(INDIRECT(getCalendarRange(O68)),"&gt;=" &amp; T68,INDIRECT(getCalendarRange(O68)),"&lt;=" &amp; U68)))</f>
        <v>0</v>
      </c>
      <c r="X68" s="153">
        <v>1</v>
      </c>
      <c r="Y68" s="183" t="s">
        <v>1094</v>
      </c>
      <c r="Z68" s="154"/>
      <c r="AA68" s="155">
        <v>0</v>
      </c>
      <c r="AB68" s="156">
        <v>0</v>
      </c>
      <c r="AC68" s="212"/>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c r="DG68" s="208"/>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t="str">
        <f>K68 &amp; " " &amp; IF(M68="","",TEXT(M68,"M/D-")) &amp; IF(N68="","",TEXT(N68,"M/D")) &amp; " "</f>
        <v xml:space="preserve">디자인 수정 3/30-6/7 </v>
      </c>
      <c r="FL68" s="207" t="str">
        <f>TEXT(AB68,"#0.00%") &amp; " "</f>
        <v xml:space="preserve">0.00% </v>
      </c>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t="s">
        <v>996</v>
      </c>
      <c r="C69" s="147">
        <v>5</v>
      </c>
      <c r="D69" s="157" t="s">
        <v>980</v>
      </c>
      <c r="E69" s="148"/>
      <c r="F69" s="148"/>
      <c r="G69" s="148"/>
      <c r="H69" s="148"/>
      <c r="I69" s="184" t="s">
        <v>1190</v>
      </c>
      <c r="J69" s="148"/>
      <c r="K69" s="148"/>
      <c r="L69" s="148"/>
      <c r="M69" s="126">
        <v>43525</v>
      </c>
      <c r="N69" s="126">
        <v>43623</v>
      </c>
      <c r="O69" s="148"/>
      <c r="P69" s="149">
        <v>185</v>
      </c>
      <c r="Q69" s="149">
        <v>30</v>
      </c>
      <c r="R69" s="150">
        <f ca="1">IF(M69="","0",(N69-M69+1)-COUNTIFS(INDIRECT(getCalendarRange(O69)),"&gt;=" &amp; M69,INDIRECT(getCalendarRange(O69)),"&lt;=" &amp; N69))</f>
        <v>99</v>
      </c>
      <c r="S69" s="150">
        <f ca="1">IF(M69&gt;TODAY(),0,IF(N69&lt;TODAY(),R69,(TODAY()-M69+1)-COUNTIFS(INDIRECT(getCalendarRange(O69)),"&gt;=" &amp; M69,INDIRECT(getCalendarRange(O69)),"&lt;=" &amp; TODAY())))</f>
        <v>18</v>
      </c>
      <c r="T69" s="126"/>
      <c r="U69" s="126"/>
      <c r="V69" s="151">
        <v>0</v>
      </c>
      <c r="W69" s="152" t="str">
        <f ca="1">IF(U69="","0",IF(T69="","0",(U69-T69+1)-COUNTIFS(INDIRECT(getCalendarRange(O69)),"&gt;=" &amp; T69,INDIRECT(getCalendarRange(O69)),"&lt;=" &amp; U69)))</f>
        <v>0</v>
      </c>
      <c r="X69" s="153"/>
      <c r="Y69" s="184" t="s">
        <v>1107</v>
      </c>
      <c r="Z69" s="154"/>
      <c r="AA69" s="155">
        <v>0.16216216216216217</v>
      </c>
      <c r="AB69" s="156">
        <v>0.17027027027027028</v>
      </c>
      <c r="AC69" s="212"/>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7"/>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t="str">
        <f>I69 &amp; " " &amp; IF(M69="","",TEXT(M69,"M/D-")) &amp; IF(N69="","",TEXT(N69,"M/D")) &amp; " "</f>
        <v xml:space="preserve">모바일 어플리케이션 3/1-6/7 </v>
      </c>
      <c r="EI69" s="207"/>
      <c r="EJ69" s="208"/>
      <c r="EK69" s="208"/>
      <c r="EL69" s="208"/>
      <c r="EM69" s="208"/>
      <c r="EN69" s="208"/>
      <c r="EO69" s="208"/>
      <c r="EP69" s="208"/>
      <c r="EQ69" s="208"/>
      <c r="ER69" s="208"/>
      <c r="ES69" s="208"/>
      <c r="ET69" s="208"/>
      <c r="EU69" s="208"/>
      <c r="EV69" s="208"/>
      <c r="EW69" s="208"/>
      <c r="EX69" s="208"/>
      <c r="EY69" s="208"/>
      <c r="EZ69" s="207" t="str">
        <f>TEXT(AB69,"#0.00%") &amp; " "</f>
        <v xml:space="preserve">17.03% </v>
      </c>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1125</v>
      </c>
      <c r="E70" s="148"/>
      <c r="F70" s="148"/>
      <c r="G70" s="148"/>
      <c r="H70" s="148"/>
      <c r="I70" s="184"/>
      <c r="J70" s="184" t="s">
        <v>1133</v>
      </c>
      <c r="K70" s="148"/>
      <c r="L70" s="148"/>
      <c r="M70" s="126">
        <v>43529</v>
      </c>
      <c r="N70" s="126">
        <v>43539</v>
      </c>
      <c r="O70" s="148"/>
      <c r="P70" s="149">
        <v>11</v>
      </c>
      <c r="Q70" s="149">
        <v>11</v>
      </c>
      <c r="R70" s="150">
        <f ca="1">IF(M70="","0",(N70-M70+1)-COUNTIFS(INDIRECT(getCalendarRange(O70)),"&gt;=" &amp; M70,INDIRECT(getCalendarRange(O70)),"&lt;=" &amp; N70))</f>
        <v>11</v>
      </c>
      <c r="S70" s="150">
        <f ca="1">IF(M70&gt;TODAY(),0,IF(N70&lt;TODAY(),R70,(TODAY()-M70+1)-COUNTIFS(INDIRECT(getCalendarRange(O70)),"&gt;=" &amp; M70,INDIRECT(getCalendarRange(O70)),"&lt;=" &amp; TODAY())))</f>
        <v>11</v>
      </c>
      <c r="T70" s="126"/>
      <c r="U70" s="126"/>
      <c r="V70" s="151"/>
      <c r="W70" s="152" t="str">
        <f ca="1">IF(U70="","0",IF(T70="","0",(U70-T70+1)-COUNTIFS(INDIRECT(getCalendarRange(O70)),"&gt;=" &amp; T70,INDIRECT(getCalendarRange(O70)),"&lt;=" &amp; U70)))</f>
        <v>0</v>
      </c>
      <c r="X70" s="153">
        <v>1</v>
      </c>
      <c r="Y70" s="184" t="s">
        <v>1107</v>
      </c>
      <c r="Z70" s="154"/>
      <c r="AA70" s="155">
        <v>1</v>
      </c>
      <c r="AB70" s="156">
        <v>1</v>
      </c>
      <c r="AC70" s="212"/>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연동 페이지 3/5-3/15 </v>
      </c>
      <c r="EM70" s="207"/>
      <c r="EN70" s="208"/>
      <c r="EO70" s="208"/>
      <c r="EP70" s="208"/>
      <c r="EQ70" s="208"/>
      <c r="ER70" s="208"/>
      <c r="ES70" s="208"/>
      <c r="ET70" s="208"/>
      <c r="EU70" s="208"/>
      <c r="EV70" s="208"/>
      <c r="EW70" s="208"/>
      <c r="EX70" s="207" t="str">
        <f>TEXT(AB70,"#0.00%") &amp; " "</f>
        <v xml:space="preserve">100.00% </v>
      </c>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1126</v>
      </c>
      <c r="E71" s="148"/>
      <c r="F71" s="148"/>
      <c r="G71" s="148"/>
      <c r="H71" s="148"/>
      <c r="I71" s="184"/>
      <c r="J71" s="184" t="s">
        <v>1157</v>
      </c>
      <c r="K71" s="148"/>
      <c r="L71" s="148"/>
      <c r="M71" s="126">
        <v>43525</v>
      </c>
      <c r="N71" s="126">
        <v>43541</v>
      </c>
      <c r="O71" s="148"/>
      <c r="P71" s="149">
        <v>17</v>
      </c>
      <c r="Q71" s="149">
        <v>17</v>
      </c>
      <c r="R71" s="150">
        <f ca="1">IF(M71="","0",(N71-M71+1)-COUNTIFS(INDIRECT(getCalendarRange(O71)),"&gt;=" &amp; M71,INDIRECT(getCalendarRange(O71)),"&lt;=" &amp; N71))</f>
        <v>17</v>
      </c>
      <c r="S71" s="150">
        <f ca="1">IF(M71&gt;TODAY(),0,IF(N71&lt;TODAY(),R71,(TODAY()-M71+1)-COUNTIFS(INDIRECT(getCalendarRange(O71)),"&gt;=" &amp; M71,INDIRECT(getCalendarRange(O71)),"&lt;=" &amp; TODAY())))</f>
        <v>17</v>
      </c>
      <c r="T71" s="126"/>
      <c r="U71" s="126"/>
      <c r="V71" s="151"/>
      <c r="W71" s="152" t="str">
        <f ca="1">IF(U71="","0",IF(T71="","0",(U71-T71+1)-COUNTIFS(INDIRECT(getCalendarRange(O71)),"&gt;=" &amp; T71,INDIRECT(getCalendarRange(O71)),"&lt;=" &amp; U71)))</f>
        <v>0</v>
      </c>
      <c r="X71" s="153">
        <v>1</v>
      </c>
      <c r="Y71" s="184" t="s">
        <v>1107</v>
      </c>
      <c r="Z71" s="154"/>
      <c r="AA71" s="155">
        <v>1</v>
      </c>
      <c r="AB71" s="156">
        <v>0.9</v>
      </c>
      <c r="AC71" s="212"/>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c r="DG71" s="207"/>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t="str">
        <f>J71 &amp; " " &amp; IF(M71="","",TEXT(M71,"M/D-")) &amp; IF(N71="","",TEXT(N71,"M/D")) &amp; " "</f>
        <v xml:space="preserve">리모컨 기능 3/1-3/17 </v>
      </c>
      <c r="EI71" s="207"/>
      <c r="EJ71" s="208"/>
      <c r="EK71" s="208"/>
      <c r="EL71" s="208"/>
      <c r="EM71" s="208"/>
      <c r="EN71" s="208"/>
      <c r="EO71" s="208"/>
      <c r="EP71" s="208"/>
      <c r="EQ71" s="208"/>
      <c r="ER71" s="208"/>
      <c r="ES71" s="208"/>
      <c r="ET71" s="208"/>
      <c r="EU71" s="208"/>
      <c r="EV71" s="208"/>
      <c r="EW71" s="208"/>
      <c r="EX71" s="207" t="str">
        <f>TEXT(AB71,"#0.00%") &amp; " "</f>
        <v xml:space="preserve">90.00% </v>
      </c>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1127</v>
      </c>
      <c r="E72" s="148"/>
      <c r="F72" s="148"/>
      <c r="G72" s="148"/>
      <c r="H72" s="148"/>
      <c r="I72" s="184"/>
      <c r="J72" s="184" t="s">
        <v>1191</v>
      </c>
      <c r="K72" s="148"/>
      <c r="L72" s="148"/>
      <c r="M72" s="126">
        <v>43542</v>
      </c>
      <c r="N72" s="126">
        <v>43549</v>
      </c>
      <c r="O72" s="148"/>
      <c r="P72" s="149">
        <v>8</v>
      </c>
      <c r="Q72" s="149">
        <v>1</v>
      </c>
      <c r="R72" s="150">
        <f ca="1">IF(M72="","0",(N72-M72+1)-COUNTIFS(INDIRECT(getCalendarRange(O72)),"&gt;=" &amp; M72,INDIRECT(getCalendarRange(O72)),"&lt;=" &amp; N72))</f>
        <v>8</v>
      </c>
      <c r="S72" s="150">
        <f ca="1">IF(M72&gt;TODAY(),0,IF(N72&lt;TODAY(),R72,(TODAY()-M72+1)-COUNTIFS(INDIRECT(getCalendarRange(O72)),"&gt;=" &amp; M72,INDIRECT(getCalendarRange(O72)),"&lt;=" &amp; TODAY())))</f>
        <v>1</v>
      </c>
      <c r="T72" s="126"/>
      <c r="U72" s="126"/>
      <c r="V72" s="151"/>
      <c r="W72" s="152" t="str">
        <f ca="1">IF(U72="","0",IF(T72="","0",(U72-T72+1)-COUNTIFS(INDIRECT(getCalendarRange(O72)),"&gt;=" &amp; T72,INDIRECT(getCalendarRange(O72)),"&lt;=" &amp; U72)))</f>
        <v>0</v>
      </c>
      <c r="X72" s="153">
        <v>1</v>
      </c>
      <c r="Y72" s="184" t="s">
        <v>1107</v>
      </c>
      <c r="Z72" s="154"/>
      <c r="AA72" s="155">
        <v>0.125</v>
      </c>
      <c r="AB72" s="156">
        <v>0</v>
      </c>
      <c r="AC72" s="212"/>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c r="DP72" s="207"/>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t="str">
        <f>J72 &amp; " " &amp; IF(M72="","",TEXT(M72,"M/D-")) &amp; IF(N72="","",TEXT(N72,"M/D")) &amp; " "</f>
        <v xml:space="preserve">디퓨저정보 제공 3/18-3/25 </v>
      </c>
      <c r="EZ72" s="207" t="str">
        <f>TEXT(AB72,"#0.00%") &amp; " "</f>
        <v xml:space="preserve">0.00% </v>
      </c>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1128</v>
      </c>
      <c r="E73" s="148"/>
      <c r="F73" s="148"/>
      <c r="G73" s="148"/>
      <c r="H73" s="148"/>
      <c r="I73" s="184"/>
      <c r="J73" s="184" t="s">
        <v>1158</v>
      </c>
      <c r="K73" s="148"/>
      <c r="L73" s="148"/>
      <c r="M73" s="126">
        <v>43542</v>
      </c>
      <c r="N73" s="126">
        <v>43554</v>
      </c>
      <c r="O73" s="148"/>
      <c r="P73" s="149">
        <v>13</v>
      </c>
      <c r="Q73" s="149">
        <v>1</v>
      </c>
      <c r="R73" s="150">
        <f ca="1">IF(M73="","0",(N73-M73+1)-COUNTIFS(INDIRECT(getCalendarRange(O73)),"&gt;=" &amp; M73,INDIRECT(getCalendarRange(O73)),"&lt;=" &amp; N73))</f>
        <v>13</v>
      </c>
      <c r="S73" s="150">
        <f ca="1">IF(M73&gt;TODAY(),0,IF(N73&lt;TODAY(),R73,(TODAY()-M73+1)-COUNTIFS(INDIRECT(getCalendarRange(O73)),"&gt;=" &amp; M73,INDIRECT(getCalendarRange(O73)),"&lt;=" &amp; TODAY())))</f>
        <v>1</v>
      </c>
      <c r="T73" s="126"/>
      <c r="U73" s="126"/>
      <c r="V73" s="151"/>
      <c r="W73" s="152" t="str">
        <f ca="1">IF(U73="","0",IF(T73="","0",(U73-T73+1)-COUNTIFS(INDIRECT(getCalendarRange(O73)),"&gt;=" &amp; T73,INDIRECT(getCalendarRange(O73)),"&lt;=" &amp; U73)))</f>
        <v>0</v>
      </c>
      <c r="X73" s="153">
        <v>1</v>
      </c>
      <c r="Y73" s="184" t="s">
        <v>1107</v>
      </c>
      <c r="Z73" s="154"/>
      <c r="AA73" s="155">
        <v>7.6923076923076927E-2</v>
      </c>
      <c r="AB73" s="156">
        <v>0.2</v>
      </c>
      <c r="AC73" s="212"/>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c r="DZ73" s="207"/>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t="str">
        <f>J73 &amp; " " &amp; IF(M73="","",TEXT(M73,"M/D-")) &amp; IF(N73="","",TEXT(N73,"M/D")) &amp; " "</f>
        <v xml:space="preserve">디퓨저 알람 3/18-3/30 </v>
      </c>
      <c r="EZ73" s="207"/>
      <c r="FA73" s="208"/>
      <c r="FB73" s="208"/>
      <c r="FC73" s="207" t="str">
        <f>TEXT(AB73,"#0.00%") &amp; " "</f>
        <v xml:space="preserve">20.00% </v>
      </c>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1129</v>
      </c>
      <c r="E74" s="148"/>
      <c r="F74" s="148"/>
      <c r="G74" s="148"/>
      <c r="H74" s="148"/>
      <c r="I74" s="148"/>
      <c r="J74" s="183" t="s">
        <v>1113</v>
      </c>
      <c r="K74" s="148"/>
      <c r="L74" s="148"/>
      <c r="M74" s="126">
        <v>43548</v>
      </c>
      <c r="N74" s="126">
        <v>43560</v>
      </c>
      <c r="O74" s="148"/>
      <c r="P74" s="149">
        <v>13</v>
      </c>
      <c r="Q74" s="149">
        <v>0</v>
      </c>
      <c r="R74" s="150">
        <f ca="1">IF(M74="","0",(N74-M74+1)-COUNTIFS(INDIRECT(getCalendarRange(O74)),"&gt;=" &amp; M74,INDIRECT(getCalendarRange(O74)),"&lt;=" &amp; N74))</f>
        <v>13</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0.2</v>
      </c>
      <c r="AC74" s="212"/>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7"/>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디퓨저 설정 3/24-4/5 </v>
      </c>
      <c r="FF74" s="207"/>
      <c r="FG74" s="208"/>
      <c r="FH74" s="208"/>
      <c r="FI74" s="207" t="str">
        <f>TEXT(AB74,"#0.00%") &amp; " "</f>
        <v xml:space="preserve">20.00% </v>
      </c>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1132</v>
      </c>
      <c r="E75" s="148"/>
      <c r="F75" s="148"/>
      <c r="G75" s="148"/>
      <c r="H75" s="148"/>
      <c r="I75" s="184"/>
      <c r="J75" s="184" t="s">
        <v>1087</v>
      </c>
      <c r="K75" s="148"/>
      <c r="L75" s="148"/>
      <c r="M75" s="126">
        <v>43548</v>
      </c>
      <c r="N75" s="126">
        <v>43605</v>
      </c>
      <c r="O75" s="148"/>
      <c r="P75" s="149">
        <v>58</v>
      </c>
      <c r="Q75" s="149">
        <v>0</v>
      </c>
      <c r="R75" s="150">
        <f ca="1">IF(M75="","0",(N75-M75+1)-COUNTIFS(INDIRECT(getCalendarRange(O75)),"&gt;=" &amp; M75,INDIRECT(getCalendarRange(O75)),"&lt;=" &amp; N75))</f>
        <v>58</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12"/>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t="str">
        <f>J75 &amp; " " &amp; IF(M75="","",TEXT(M75,"M/D-")) &amp; IF(N75="","",TEXT(N75,"M/D")) &amp; " "</f>
        <v xml:space="preserve">chatbot 3/24-5/20 </v>
      </c>
      <c r="FF75" s="207" t="str">
        <f>TEXT(AB75,"#0.00%") &amp; " "</f>
        <v xml:space="preserve">0.00% </v>
      </c>
      <c r="FG75" s="208"/>
      <c r="FH75" s="208"/>
      <c r="FI75" s="208"/>
      <c r="FJ75" s="208"/>
      <c r="FK75" s="208"/>
      <c r="FL75" s="208"/>
      <c r="FM75" s="208"/>
      <c r="FN75" s="208"/>
      <c r="FO75" s="208"/>
      <c r="FP75" s="208"/>
      <c r="FQ75" s="208"/>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c r="C76" s="147">
        <v>6</v>
      </c>
      <c r="D76" s="157" t="s">
        <v>1148</v>
      </c>
      <c r="E76" s="148"/>
      <c r="F76" s="148"/>
      <c r="G76" s="148"/>
      <c r="H76" s="148"/>
      <c r="I76" s="184"/>
      <c r="J76" s="184" t="s">
        <v>1147</v>
      </c>
      <c r="K76" s="148"/>
      <c r="L76" s="148"/>
      <c r="M76" s="126">
        <v>43559</v>
      </c>
      <c r="N76" s="126">
        <v>43623</v>
      </c>
      <c r="O76" s="148"/>
      <c r="P76" s="149">
        <v>65</v>
      </c>
      <c r="Q76" s="149">
        <v>0</v>
      </c>
      <c r="R76" s="150">
        <f ca="1">IF(M76="","0",(N76-M76+1)-COUNTIFS(INDIRECT(getCalendarRange(O76)),"&gt;=" &amp; M76,INDIRECT(getCalendarRange(O76)),"&lt;=" &amp; N76))</f>
        <v>65</v>
      </c>
      <c r="S76" s="150">
        <f ca="1">IF(M76&gt;TODAY(),0,IF(N76&lt;TODAY(),R76,(TODAY()-M76+1)-COUNTIFS(INDIRECT(getCalendarRange(O76)),"&gt;=" &amp; M76,INDIRECT(getCalendarRange(O76)),"&lt;=" &amp; TODAY())))</f>
        <v>0</v>
      </c>
      <c r="T76" s="126"/>
      <c r="U76" s="126"/>
      <c r="V76" s="151"/>
      <c r="W76" s="152" t="str">
        <f ca="1">IF(U76="","0",IF(T76="","0",(U76-T76+1)-COUNTIFS(INDIRECT(getCalendarRange(O76)),"&gt;=" &amp; T76,INDIRECT(getCalendarRange(O76)),"&lt;=" &amp; U76)))</f>
        <v>0</v>
      </c>
      <c r="X76" s="153">
        <v>1</v>
      </c>
      <c r="Y76" s="184" t="s">
        <v>1107</v>
      </c>
      <c r="Z76" s="154"/>
      <c r="AA76" s="155">
        <v>0</v>
      </c>
      <c r="AB76" s="156">
        <v>0</v>
      </c>
      <c r="AC76" s="212"/>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c r="DG76" s="208"/>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t="str">
        <f>J76 &amp; " " &amp; IF(M76="","",TEXT(M76,"M/D-")) &amp; IF(N76="","",TEXT(N76,"M/D")) &amp; " "</f>
        <v xml:space="preserve">수정 보완 4/4-6/7 </v>
      </c>
      <c r="FQ76" s="207" t="str">
        <f>TEXT(AB76,"#0.00%") &amp; " "</f>
        <v xml:space="preserve">0.00% </v>
      </c>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t="s">
        <v>996</v>
      </c>
      <c r="C77" s="147">
        <v>5</v>
      </c>
      <c r="D77" s="157" t="s">
        <v>1162</v>
      </c>
      <c r="E77" s="148"/>
      <c r="F77" s="148"/>
      <c r="G77" s="148"/>
      <c r="H77" s="148"/>
      <c r="I77" s="183" t="s">
        <v>1160</v>
      </c>
      <c r="J77" s="148"/>
      <c r="K77" s="148"/>
      <c r="L77" s="148"/>
      <c r="M77" s="126">
        <v>43536</v>
      </c>
      <c r="N77" s="126">
        <v>43623</v>
      </c>
      <c r="O77" s="148"/>
      <c r="P77" s="149">
        <v>102</v>
      </c>
      <c r="Q77" s="149">
        <v>14</v>
      </c>
      <c r="R77" s="150">
        <f ca="1">IF(M77="","0",(N77-M77+1)-COUNTIFS(INDIRECT(getCalendarRange(O77)),"&gt;=" &amp; M77,INDIRECT(getCalendarRange(O77)),"&lt;=" &amp; N77))</f>
        <v>88</v>
      </c>
      <c r="S77" s="150">
        <f ca="1">IF(M77&gt;TODAY(),0,IF(N77&lt;TODAY(),R77,(TODAY()-M77+1)-COUNTIFS(INDIRECT(getCalendarRange(O77)),"&gt;=" &amp; M77,INDIRECT(getCalendarRange(O77)),"&lt;=" &amp; TODAY())))</f>
        <v>7</v>
      </c>
      <c r="T77" s="126"/>
      <c r="U77" s="126"/>
      <c r="V77" s="151">
        <v>0</v>
      </c>
      <c r="W77" s="152" t="str">
        <f ca="1">IF(U77="","0",IF(T77="","0",(U77-T77+1)-COUNTIFS(INDIRECT(getCalendarRange(O77)),"&gt;=" &amp; T77,INDIRECT(getCalendarRange(O77)),"&lt;=" &amp; U77)))</f>
        <v>0</v>
      </c>
      <c r="X77" s="153"/>
      <c r="Y77" s="184" t="s">
        <v>1161</v>
      </c>
      <c r="Z77" s="154"/>
      <c r="AA77" s="155">
        <v>0.13725490196078433</v>
      </c>
      <c r="AB77" s="156">
        <v>0.79803921568627456</v>
      </c>
      <c r="AC77" s="212"/>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c r="EM77" s="208"/>
      <c r="EN77" s="208"/>
      <c r="EO77" s="208"/>
      <c r="EP77" s="208"/>
      <c r="EQ77" s="208"/>
      <c r="ER77" s="208"/>
      <c r="ES77" s="208" t="str">
        <f>I77 &amp; " " &amp; IF(M77="","",TEXT(M77,"M/D-")) &amp; IF(N77="","",TEXT(N77,"M/D")) &amp; " "</f>
        <v xml:space="preserve">서버 환경 구축 3/12-6/7 </v>
      </c>
      <c r="ET77" s="207"/>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7" t="str">
        <f>TEXT(AB77,"#0.00%") &amp; " "</f>
        <v xml:space="preserve">79.80% </v>
      </c>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1163</v>
      </c>
      <c r="E78" s="148"/>
      <c r="F78" s="148"/>
      <c r="G78" s="148"/>
      <c r="H78" s="148"/>
      <c r="I78" s="184"/>
      <c r="J78" s="211" t="s">
        <v>1169</v>
      </c>
      <c r="K78" s="148"/>
      <c r="L78" s="148"/>
      <c r="M78" s="126">
        <v>43536</v>
      </c>
      <c r="N78" s="126">
        <v>43539</v>
      </c>
      <c r="O78" s="148"/>
      <c r="P78" s="149">
        <v>4</v>
      </c>
      <c r="Q78" s="149">
        <v>4</v>
      </c>
      <c r="R78" s="150">
        <f ca="1">IF(M78="","0",(N78-M78+1)-COUNTIFS(INDIRECT(getCalendarRange(O78)),"&gt;=" &amp; M78,INDIRECT(getCalendarRange(O78)),"&lt;=" &amp; N78))</f>
        <v>4</v>
      </c>
      <c r="S78" s="150">
        <f ca="1">IF(M78&gt;TODAY(),0,IF(N78&lt;TODAY(),R78,(TODAY()-M78+1)-COUNTIFS(INDIRECT(getCalendarRange(O78)),"&gt;=" &amp; M78,INDIRECT(getCalendarRange(O78)),"&lt;=" &amp; TODAY())))</f>
        <v>4</v>
      </c>
      <c r="T78" s="126"/>
      <c r="U78" s="126"/>
      <c r="V78" s="151"/>
      <c r="W78" s="152" t="str">
        <f ca="1">IF(U78="","0",IF(T78="","0",(U78-T78+1)-COUNTIFS(INDIRECT(getCalendarRange(O78)),"&gt;=" &amp; T78,INDIRECT(getCalendarRange(O78)),"&lt;=" &amp; U78)))</f>
        <v>0</v>
      </c>
      <c r="X78" s="153">
        <v>1</v>
      </c>
      <c r="Y78" s="183" t="s">
        <v>1085</v>
      </c>
      <c r="Z78" s="154"/>
      <c r="AA78" s="155">
        <v>1</v>
      </c>
      <c r="AB78" s="156">
        <v>1</v>
      </c>
      <c r="AC78" s="212"/>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c r="EM78" s="208"/>
      <c r="EN78" s="208"/>
      <c r="EO78" s="208"/>
      <c r="EP78" s="208"/>
      <c r="EQ78" s="208"/>
      <c r="ER78" s="208"/>
      <c r="ES78" s="208" t="str">
        <f>J78 &amp; " " &amp; IF(M78="","",TEXT(M78,"M/D-")) &amp; IF(N78="","",TEXT(N78,"M/D")) &amp; " "</f>
        <v xml:space="preserve">웹 서버 구축 3/12-3/15 </v>
      </c>
      <c r="ET78" s="207"/>
      <c r="EU78" s="208"/>
      <c r="EV78" s="208"/>
      <c r="EW78" s="208"/>
      <c r="EX78" s="207" t="str">
        <f>TEXT(AB78,"#0.00%") &amp; " "</f>
        <v xml:space="preserve">100.00% </v>
      </c>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1164</v>
      </c>
      <c r="E79" s="148"/>
      <c r="F79" s="148"/>
      <c r="G79" s="148"/>
      <c r="H79" s="148"/>
      <c r="I79" s="148"/>
      <c r="J79" s="183" t="s">
        <v>1172</v>
      </c>
      <c r="K79" s="148"/>
      <c r="L79" s="148"/>
      <c r="M79" s="126">
        <v>43540</v>
      </c>
      <c r="N79" s="126">
        <v>43541</v>
      </c>
      <c r="O79" s="148"/>
      <c r="P79" s="149">
        <v>2</v>
      </c>
      <c r="Q79" s="149">
        <v>2</v>
      </c>
      <c r="R79" s="150">
        <f ca="1">IF(M79="","0",(N79-M79+1)-COUNTIFS(INDIRECT(getCalendarRange(O79)),"&gt;=" &amp; M79,INDIRECT(getCalendarRange(O79)),"&lt;=" &amp; N79))</f>
        <v>2</v>
      </c>
      <c r="S79" s="150">
        <f ca="1">IF(M79&gt;TODAY(),0,IF(N79&lt;TODAY(),R79,(TODAY()-M79+1)-COUNTIFS(INDIRECT(getCalendarRange(O79)),"&gt;=" &amp; M79,INDIRECT(getCalendarRange(O79)),"&lt;=" &amp; TODAY())))</f>
        <v>2</v>
      </c>
      <c r="T79" s="126"/>
      <c r="U79" s="126"/>
      <c r="V79" s="151"/>
      <c r="W79" s="152" t="str">
        <f ca="1">IF(U79="","0",IF(T79="","0",(U79-T79+1)-COUNTIFS(INDIRECT(getCalendarRange(O79)),"&gt;=" &amp; T79,INDIRECT(getCalendarRange(O79)),"&lt;=" &amp; U79)))</f>
        <v>0</v>
      </c>
      <c r="X79" s="153">
        <v>1</v>
      </c>
      <c r="Y79" s="183" t="s">
        <v>1085</v>
      </c>
      <c r="Z79" s="154"/>
      <c r="AA79" s="155">
        <v>1</v>
      </c>
      <c r="AB79" s="156">
        <v>1</v>
      </c>
      <c r="AC79" s="212"/>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c r="DG79" s="208"/>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t="str">
        <f>J79 &amp; " " &amp; IF(M79="","",TEXT(M79,"M/D-")) &amp; IF(N79="","",TEXT(N79,"M/D")) &amp; " "</f>
        <v xml:space="preserve">MQTT 서버 구축 3/16-3/17 </v>
      </c>
      <c r="EX79" s="207"/>
      <c r="EY79" s="208"/>
      <c r="EZ79" s="207" t="str">
        <f>TEXT(AB79,"#0.00%") &amp; " "</f>
        <v xml:space="preserve">100.00% </v>
      </c>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1165</v>
      </c>
      <c r="E80" s="148"/>
      <c r="F80" s="148"/>
      <c r="G80" s="148"/>
      <c r="H80" s="148"/>
      <c r="I80" s="184"/>
      <c r="J80" s="211" t="s">
        <v>1173</v>
      </c>
      <c r="K80" s="148"/>
      <c r="L80" s="148"/>
      <c r="M80" s="126">
        <v>43536</v>
      </c>
      <c r="N80" s="126">
        <v>43623</v>
      </c>
      <c r="O80" s="148"/>
      <c r="P80" s="149">
        <v>88</v>
      </c>
      <c r="Q80" s="149">
        <v>7</v>
      </c>
      <c r="R80" s="150">
        <f ca="1">IF(M80="","0",(N80-M80+1)-COUNTIFS(INDIRECT(getCalendarRange(O80)),"&gt;=" &amp; M80,INDIRECT(getCalendarRange(O80)),"&lt;=" &amp; N80))</f>
        <v>88</v>
      </c>
      <c r="S80" s="150">
        <f ca="1">IF(M80&gt;TODAY(),0,IF(N80&lt;TODAY(),R80,(TODAY()-M80+1)-COUNTIFS(INDIRECT(getCalendarRange(O80)),"&gt;=" &amp; M80,INDIRECT(getCalendarRange(O80)),"&lt;=" &amp; TODAY())))</f>
        <v>7</v>
      </c>
      <c r="T80" s="126"/>
      <c r="U80" s="126"/>
      <c r="V80" s="151"/>
      <c r="W80" s="152" t="str">
        <f ca="1">IF(U80="","0",IF(T80="","0",(U80-T80+1)-COUNTIFS(INDIRECT(getCalendarRange(O80)),"&gt;=" &amp; T80,INDIRECT(getCalendarRange(O80)),"&lt;=" &amp; U80)))</f>
        <v>0</v>
      </c>
      <c r="X80" s="153">
        <v>1</v>
      </c>
      <c r="Y80" s="183" t="s">
        <v>1085</v>
      </c>
      <c r="Z80" s="154"/>
      <c r="AA80" s="155">
        <v>7.9545454545454544E-2</v>
      </c>
      <c r="AB80" s="156">
        <v>0.8</v>
      </c>
      <c r="AC80" s="212"/>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c r="DP80" s="208"/>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t="str">
        <f>J80 &amp; " " &amp; IF(M80="","",TEXT(M80,"M/D-")) &amp; IF(N80="","",TEXT(N80,"M/D")) &amp; " "</f>
        <v xml:space="preserve">웹·MQTT 서버 설정 3/12-6/7 </v>
      </c>
      <c r="ET80" s="207"/>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7" t="str">
        <f>TEXT(AB80,"#0.00%") &amp; " "</f>
        <v xml:space="preserve">80.00% </v>
      </c>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1166</v>
      </c>
      <c r="E81" s="148"/>
      <c r="F81" s="148"/>
      <c r="G81" s="148"/>
      <c r="H81" s="148"/>
      <c r="I81" s="184"/>
      <c r="J81" s="211" t="s">
        <v>1174</v>
      </c>
      <c r="K81" s="148"/>
      <c r="L81" s="148"/>
      <c r="M81" s="126">
        <v>43542</v>
      </c>
      <c r="N81" s="126">
        <v>43545</v>
      </c>
      <c r="O81" s="148"/>
      <c r="P81" s="149">
        <v>4</v>
      </c>
      <c r="Q81" s="149">
        <v>1</v>
      </c>
      <c r="R81" s="150">
        <f ca="1">IF(M81="","0",(N81-M81+1)-COUNTIFS(INDIRECT(getCalendarRange(O81)),"&gt;=" &amp; M81,INDIRECT(getCalendarRange(O81)),"&lt;=" &amp; N81))</f>
        <v>4</v>
      </c>
      <c r="S81" s="150">
        <f ca="1">IF(M81&gt;TODAY(),0,IF(N81&lt;TODAY(),R81,(TODAY()-M81+1)-COUNTIFS(INDIRECT(getCalendarRange(O81)),"&gt;=" &amp; M81,INDIRECT(getCalendarRange(O81)),"&lt;=" &amp; TODAY())))</f>
        <v>1</v>
      </c>
      <c r="T81" s="126"/>
      <c r="U81" s="126"/>
      <c r="V81" s="151"/>
      <c r="W81" s="152" t="str">
        <f ca="1">IF(U81="","0",IF(T81="","0",(U81-T81+1)-COUNTIFS(INDIRECT(getCalendarRange(O81)),"&gt;=" &amp; T81,INDIRECT(getCalendarRange(O81)),"&lt;=" &amp; U81)))</f>
        <v>0</v>
      </c>
      <c r="X81" s="153">
        <v>1</v>
      </c>
      <c r="Y81" s="183" t="s">
        <v>1085</v>
      </c>
      <c r="Z81" s="154"/>
      <c r="AA81" s="155">
        <v>0.25</v>
      </c>
      <c r="AB81" s="156">
        <v>0.75</v>
      </c>
      <c r="AC81" s="212"/>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c r="DZ81" s="208"/>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t="str">
        <f>J81 &amp; " " &amp; IF(M81="","",TEXT(M81,"M/D-")) &amp; IF(N81="","",TEXT(N81,"M/D")) &amp; " "</f>
        <v xml:space="preserve">서버-rds(MySQL) 연동 3/18-3/21 </v>
      </c>
      <c r="EZ81" s="207"/>
      <c r="FA81" s="208"/>
      <c r="FB81" s="208"/>
      <c r="FC81" s="207" t="str">
        <f>TEXT(AB81,"#0.00%") &amp; " "</f>
        <v xml:space="preserve">75.00% </v>
      </c>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1167</v>
      </c>
      <c r="E82" s="148"/>
      <c r="F82" s="148"/>
      <c r="G82" s="148"/>
      <c r="H82" s="148"/>
      <c r="I82" s="184"/>
      <c r="J82" s="211" t="s">
        <v>1175</v>
      </c>
      <c r="K82" s="148"/>
      <c r="L82" s="148"/>
      <c r="M82" s="126">
        <v>43546</v>
      </c>
      <c r="N82" s="126">
        <v>43549</v>
      </c>
      <c r="O82" s="148"/>
      <c r="P82" s="149">
        <v>4</v>
      </c>
      <c r="Q82" s="149">
        <v>0</v>
      </c>
      <c r="R82" s="150">
        <f ca="1">IF(M82="","0",(N82-M82+1)-COUNTIFS(INDIRECT(getCalendarRange(O82)),"&gt;=" &amp; M82,INDIRECT(getCalendarRange(O82)),"&lt;=" &amp; N82))</f>
        <v>4</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156">
        <v>0.5</v>
      </c>
      <c r="AC82" s="212"/>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t="str">
        <f>J82 &amp; " " &amp; IF(M82="","",TEXT(M82,"M/D-")) &amp; IF(N82="","",TEXT(N82,"M/D")) &amp; " "</f>
        <v xml:space="preserve">서버-Storage S3 연동 3/22-3/25 </v>
      </c>
      <c r="FD82" s="207"/>
      <c r="FE82" s="208"/>
      <c r="FF82" s="207" t="str">
        <f>TEXT(AB82,"#0.00%") &amp; " "</f>
        <v xml:space="preserve">50.00% </v>
      </c>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t="s">
        <v>996</v>
      </c>
      <c r="C83" s="147">
        <v>3</v>
      </c>
      <c r="D83" s="157" t="s">
        <v>1011</v>
      </c>
      <c r="E83" s="148"/>
      <c r="F83" s="148"/>
      <c r="G83" s="148" t="s">
        <v>948</v>
      </c>
      <c r="H83" s="148"/>
      <c r="I83" s="148"/>
      <c r="J83" s="148"/>
      <c r="K83" s="148"/>
      <c r="L83" s="148"/>
      <c r="M83" s="126">
        <v>43617</v>
      </c>
      <c r="N83" s="126">
        <v>43623</v>
      </c>
      <c r="O83" s="148"/>
      <c r="P83" s="149">
        <v>14</v>
      </c>
      <c r="Q83" s="149">
        <v>0</v>
      </c>
      <c r="R83" s="150">
        <f ca="1">IF(M83="","0",(N83-M83+1)-COUNTIFS(INDIRECT(getCalendarRange(O83)),"&gt;=" &amp; M83,INDIRECT(getCalendarRange(O83)),"&lt;=" &amp; N83))</f>
        <v>7</v>
      </c>
      <c r="S83" s="150">
        <f ca="1">IF(M83&gt;TODAY(),0,IF(N83&lt;TODAY(),R83,(TODAY()-M83+1)-COUNTIFS(INDIRECT(getCalendarRange(O83)),"&gt;=" &amp; M83,INDIRECT(getCalendarRange(O83)),"&lt;=" &amp; TODAY())))</f>
        <v>0</v>
      </c>
      <c r="T83" s="126"/>
      <c r="U83" s="126"/>
      <c r="V83" s="151">
        <v>0</v>
      </c>
      <c r="W83" s="152" t="str">
        <f ca="1">IF(U83="","0",IF(T83="","0",(U83-T83+1)-COUNTIFS(INDIRECT(getCalendarRange(O83)),"&gt;=" &amp; T83,INDIRECT(getCalendarRange(O83)),"&lt;=" &amp; U83)))</f>
        <v>0</v>
      </c>
      <c r="X83" s="153"/>
      <c r="Y83" s="148"/>
      <c r="Z83" s="154"/>
      <c r="AA83" s="155">
        <v>0</v>
      </c>
      <c r="AB83" s="156">
        <v>0</v>
      </c>
      <c r="AC83" s="212"/>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G83 &amp; " " &amp; IF(M83="","",TEXT(M83,"M/D-")) &amp; IF(N83="","",TEXT(N83,"M/D")) &amp; " "</f>
        <v xml:space="preserve">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981</v>
      </c>
      <c r="E84" s="148"/>
      <c r="F84" s="148"/>
      <c r="G84" s="148"/>
      <c r="H84" s="148" t="s">
        <v>949</v>
      </c>
      <c r="I84" s="148"/>
      <c r="J84" s="148"/>
      <c r="K84" s="148"/>
      <c r="L84" s="148"/>
      <c r="M84" s="126">
        <v>43617</v>
      </c>
      <c r="N84" s="126">
        <v>43623</v>
      </c>
      <c r="O84" s="148"/>
      <c r="P84" s="149">
        <v>7</v>
      </c>
      <c r="Q84" s="149">
        <v>0</v>
      </c>
      <c r="R84" s="150">
        <f ca="1">IF(M84="","0",(N84-M84+1)-COUNTIFS(INDIRECT(getCalendarRange(O84)),"&gt;=" &amp; M84,INDIRECT(getCalendarRange(O84)),"&lt;=" &amp; N84))</f>
        <v>7</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156">
        <v>0</v>
      </c>
      <c r="AC84" s="212"/>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통합테스트실시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982</v>
      </c>
      <c r="E85" s="148"/>
      <c r="F85" s="148"/>
      <c r="G85" s="148"/>
      <c r="H85" s="148" t="s">
        <v>950</v>
      </c>
      <c r="I85" s="148"/>
      <c r="J85" s="148"/>
      <c r="K85" s="148"/>
      <c r="L85" s="148"/>
      <c r="M85" s="126">
        <v>43617</v>
      </c>
      <c r="N85" s="126">
        <v>43623</v>
      </c>
      <c r="O85" s="148"/>
      <c r="P85" s="149">
        <v>7</v>
      </c>
      <c r="Q85" s="149">
        <v>0</v>
      </c>
      <c r="R85" s="150">
        <f ca="1">IF(M85="","0",(N85-M85+1)-COUNTIFS(INDIRECT(getCalendarRange(O85)),"&gt;=" &amp; M85,INDIRECT(getCalendarRange(O85)),"&lt;=" &amp; N85))</f>
        <v>7</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12"/>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시스템테스트실시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t="s">
        <v>996</v>
      </c>
      <c r="C86" s="147">
        <v>2</v>
      </c>
      <c r="D86" s="157" t="s">
        <v>1012</v>
      </c>
      <c r="E86" s="148"/>
      <c r="F86" s="148" t="s">
        <v>951</v>
      </c>
      <c r="G86" s="148"/>
      <c r="H86" s="148"/>
      <c r="I86" s="148"/>
      <c r="J86" s="148"/>
      <c r="K86" s="148"/>
      <c r="L86" s="148"/>
      <c r="M86" s="126">
        <v>43623</v>
      </c>
      <c r="N86" s="126">
        <v>43630</v>
      </c>
      <c r="O86" s="148"/>
      <c r="P86" s="149">
        <v>17</v>
      </c>
      <c r="Q86" s="149">
        <v>0</v>
      </c>
      <c r="R86" s="150">
        <f ca="1">IF(M86="","0",(N86-M86+1)-COUNTIFS(INDIRECT(getCalendarRange(O86)),"&gt;=" &amp; M86,INDIRECT(getCalendarRange(O86)),"&lt;=" &amp; N86))</f>
        <v>8</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156">
        <v>0</v>
      </c>
      <c r="AC86" s="212"/>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F86 &amp; " " &amp; IF(M86="","",TEXT(M86,"M/D-")) &amp; IF(N86="","",TEXT(N86,"M/D")) &amp; " "</f>
        <v xml:space="preserve">구현 6/7-6/14 </v>
      </c>
      <c r="IC86" s="207" t="str">
        <f>TEXT(AB86,"#0.00%") &amp; " "</f>
        <v xml:space="preserve">0.00% </v>
      </c>
      <c r="ID86" s="208"/>
      <c r="IE86" s="208"/>
      <c r="IF86" s="208"/>
      <c r="IG86" s="208"/>
      <c r="IH86" s="208"/>
      <c r="II86" s="208"/>
      <c r="IJ86" s="208"/>
      <c r="IK86" s="208"/>
    </row>
    <row r="87" spans="1:245">
      <c r="A87" s="147"/>
      <c r="B87" s="147" t="s">
        <v>996</v>
      </c>
      <c r="C87" s="147">
        <v>3</v>
      </c>
      <c r="D87" s="157" t="s">
        <v>1013</v>
      </c>
      <c r="E87" s="148"/>
      <c r="F87" s="148"/>
      <c r="G87" s="148" t="s">
        <v>952</v>
      </c>
      <c r="H87" s="148"/>
      <c r="I87" s="148"/>
      <c r="J87" s="148"/>
      <c r="K87" s="148"/>
      <c r="L87" s="148"/>
      <c r="M87" s="126">
        <v>43623</v>
      </c>
      <c r="N87" s="126">
        <v>43625</v>
      </c>
      <c r="O87" s="148"/>
      <c r="P87" s="149">
        <v>3</v>
      </c>
      <c r="Q87" s="149">
        <v>0</v>
      </c>
      <c r="R87" s="150">
        <f ca="1">IF(M87="","0",(N87-M87+1)-COUNTIFS(INDIRECT(getCalendarRange(O87)),"&gt;=" &amp; M87,INDIRECT(getCalendarRange(O87)),"&lt;=" &amp; N87))</f>
        <v>3</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12"/>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G87 &amp; " " &amp; IF(M87="","",TEXT(M87,"M/D-")) &amp; IF(N87="","",TEXT(N87,"M/D")) &amp; " "</f>
        <v xml:space="preserve">구현준비 6/7-6/9 </v>
      </c>
      <c r="IC87" s="207" t="str">
        <f>TEXT(AB87,"#0.00%") &amp; " "</f>
        <v xml:space="preserve">0.00% </v>
      </c>
      <c r="ID87" s="208"/>
      <c r="IE87" s="208"/>
      <c r="IF87" s="208"/>
      <c r="IG87" s="208"/>
      <c r="IH87" s="208"/>
      <c r="II87" s="208"/>
      <c r="IJ87" s="208"/>
      <c r="IK87" s="208"/>
    </row>
    <row r="88" spans="1:245">
      <c r="A88" s="147"/>
      <c r="B88" s="147"/>
      <c r="C88" s="147">
        <v>4</v>
      </c>
      <c r="D88" s="157" t="s">
        <v>983</v>
      </c>
      <c r="E88" s="148"/>
      <c r="F88" s="148"/>
      <c r="G88" s="148"/>
      <c r="H88" s="148" t="s">
        <v>953</v>
      </c>
      <c r="I88" s="148"/>
      <c r="J88" s="148"/>
      <c r="K88" s="148"/>
      <c r="L88" s="148"/>
      <c r="M88" s="126">
        <v>43623</v>
      </c>
      <c r="N88" s="126">
        <v>43625</v>
      </c>
      <c r="O88" s="148"/>
      <c r="P88" s="149">
        <v>3</v>
      </c>
      <c r="Q88" s="149">
        <v>0</v>
      </c>
      <c r="R88" s="150">
        <f ca="1">IF(M88="","0",(N88-M88+1)-COUNTIFS(INDIRECT(getCalendarRange(O88)),"&gt;=" &amp; M88,INDIRECT(getCalendarRange(O88)),"&lt;=" &amp; N88))</f>
        <v>3</v>
      </c>
      <c r="S88" s="150">
        <f ca="1">IF(M88&gt;TODAY(),0,IF(N88&lt;TODAY(),R88,(TODAY()-M88+1)-COUNTIFS(INDIRECT(getCalendarRange(O88)),"&gt;=" &amp; M88,INDIRECT(getCalendarRange(O88)),"&lt;=" &amp; TODAY())))</f>
        <v>0</v>
      </c>
      <c r="T88" s="126"/>
      <c r="U88" s="126"/>
      <c r="V88" s="151"/>
      <c r="W88" s="152" t="str">
        <f ca="1">IF(U88="","0",IF(T88="","0",(U88-T88+1)-COUNTIFS(INDIRECT(getCalendarRange(O88)),"&gt;=" &amp; T88,INDIRECT(getCalendarRange(O88)),"&lt;=" &amp; U88)))</f>
        <v>0</v>
      </c>
      <c r="X88" s="153">
        <v>1</v>
      </c>
      <c r="Y88" s="183" t="s">
        <v>1083</v>
      </c>
      <c r="Z88" s="154"/>
      <c r="AA88" s="155">
        <v>0</v>
      </c>
      <c r="AB88" s="156">
        <v>0</v>
      </c>
      <c r="AC88" s="212"/>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H88 &amp; " " &amp; IF(M88="","",TEXT(M88,"M/D-")) &amp; IF(N88="","",TEXT(N88,"M/D")) &amp; " "</f>
        <v xml:space="preserve">Release 및 Contingency plan수립 6/7-6/9 </v>
      </c>
      <c r="IC88" s="207" t="str">
        <f>TEXT(AB88,"#0.00%") &amp; " "</f>
        <v xml:space="preserve">0.00% </v>
      </c>
      <c r="ID88" s="208"/>
      <c r="IE88" s="208"/>
      <c r="IF88" s="208"/>
      <c r="IG88" s="208"/>
      <c r="IH88" s="208"/>
      <c r="II88" s="208"/>
      <c r="IJ88" s="208"/>
      <c r="IK88" s="208"/>
    </row>
    <row r="89" spans="1:245">
      <c r="A89" s="147"/>
      <c r="B89" s="147" t="s">
        <v>996</v>
      </c>
      <c r="C89" s="147">
        <v>3</v>
      </c>
      <c r="D89" s="157" t="s">
        <v>1014</v>
      </c>
      <c r="E89" s="148"/>
      <c r="F89" s="148"/>
      <c r="G89" s="148" t="s">
        <v>954</v>
      </c>
      <c r="H89" s="148"/>
      <c r="I89" s="148"/>
      <c r="J89" s="148"/>
      <c r="K89" s="148"/>
      <c r="L89" s="148"/>
      <c r="M89" s="126">
        <v>43624</v>
      </c>
      <c r="N89" s="126">
        <v>43630</v>
      </c>
      <c r="O89" s="148"/>
      <c r="P89" s="149">
        <v>14</v>
      </c>
      <c r="Q89" s="149">
        <v>0</v>
      </c>
      <c r="R89" s="150">
        <f ca="1">IF(M89="","0",(N89-M89+1)-COUNTIFS(INDIRECT(getCalendarRange(O89)),"&gt;=" &amp; M89,INDIRECT(getCalendarRange(O89)),"&lt;=" &amp; N89))</f>
        <v>7</v>
      </c>
      <c r="S89" s="150">
        <f ca="1">IF(M89&gt;TODAY(),0,IF(N89&lt;TODAY(),R89,(TODAY()-M89+1)-COUNTIFS(INDIRECT(getCalendarRange(O89)),"&gt;=" &amp; M89,INDIRECT(getCalendarRange(O89)),"&lt;=" &amp; TODAY())))</f>
        <v>0</v>
      </c>
      <c r="T89" s="126"/>
      <c r="U89" s="126"/>
      <c r="V89" s="151">
        <v>0</v>
      </c>
      <c r="W89" s="152" t="str">
        <f ca="1">IF(U89="","0",IF(T89="","0",(U89-T89+1)-COUNTIFS(INDIRECT(getCalendarRange(O89)),"&gt;=" &amp; T89,INDIRECT(getCalendarRange(O89)),"&lt;=" &amp; U89)))</f>
        <v>0</v>
      </c>
      <c r="X89" s="153"/>
      <c r="Y89" s="148"/>
      <c r="Z89" s="154"/>
      <c r="AA89" s="155">
        <v>0</v>
      </c>
      <c r="AB89" s="156">
        <v>0</v>
      </c>
      <c r="AC89" s="212"/>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G89 &amp; " " &amp; IF(M89="","",TEXT(M89,"M/D-")) &amp; IF(N89="","",TEXT(N89,"M/D")) &amp; " "</f>
        <v xml:space="preserve">Conversion 및 Release 6/8-6/14 </v>
      </c>
      <c r="ID89" s="207" t="str">
        <f>TEXT(AB89,"#0.00%") &amp; " "</f>
        <v xml:space="preserve">0.00% </v>
      </c>
      <c r="IE89" s="208"/>
      <c r="IF89" s="208"/>
      <c r="IG89" s="208"/>
      <c r="IH89" s="208"/>
      <c r="II89" s="208"/>
      <c r="IJ89" s="208"/>
      <c r="IK89" s="208"/>
    </row>
    <row r="90" spans="1:245">
      <c r="A90" s="147"/>
      <c r="B90" s="147"/>
      <c r="C90" s="147">
        <v>4</v>
      </c>
      <c r="D90" s="157" t="s">
        <v>984</v>
      </c>
      <c r="E90" s="148"/>
      <c r="F90" s="148"/>
      <c r="G90" s="148"/>
      <c r="H90" s="148" t="s">
        <v>955</v>
      </c>
      <c r="I90" s="148"/>
      <c r="J90" s="148"/>
      <c r="K90" s="148"/>
      <c r="L90" s="148"/>
      <c r="M90" s="126">
        <v>43624</v>
      </c>
      <c r="N90" s="126">
        <v>43629</v>
      </c>
      <c r="O90" s="148"/>
      <c r="P90" s="149">
        <v>6</v>
      </c>
      <c r="Q90" s="149">
        <v>0</v>
      </c>
      <c r="R90" s="150">
        <f ca="1">IF(M90="","0",(N90-M90+1)-COUNTIFS(INDIRECT(getCalendarRange(O90)),"&gt;=" &amp; M90,INDIRECT(getCalendarRange(O90)),"&lt;=" &amp; N90))</f>
        <v>6</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1085</v>
      </c>
      <c r="Z90" s="154"/>
      <c r="AA90" s="155">
        <v>0</v>
      </c>
      <c r="AB90" s="156">
        <v>0</v>
      </c>
      <c r="AC90" s="212"/>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데이터베이스구축 6/8-6/13 </v>
      </c>
      <c r="ID90" s="207" t="str">
        <f>TEXT(AB90,"#0.00%") &amp; " "</f>
        <v xml:space="preserve">0.00% </v>
      </c>
      <c r="IE90" s="208"/>
      <c r="IF90" s="208"/>
      <c r="IG90" s="208"/>
      <c r="IH90" s="208"/>
      <c r="II90" s="208"/>
      <c r="IJ90" s="208"/>
      <c r="IK90" s="208"/>
    </row>
    <row r="91" spans="1:245">
      <c r="A91" s="147"/>
      <c r="B91" s="147"/>
      <c r="C91" s="147">
        <v>4</v>
      </c>
      <c r="D91" s="157" t="s">
        <v>985</v>
      </c>
      <c r="E91" s="148"/>
      <c r="F91" s="148"/>
      <c r="G91" s="148"/>
      <c r="H91" s="148" t="s">
        <v>956</v>
      </c>
      <c r="I91" s="148"/>
      <c r="J91" s="148"/>
      <c r="K91" s="148"/>
      <c r="L91" s="148"/>
      <c r="M91" s="126">
        <v>43624</v>
      </c>
      <c r="N91" s="126">
        <v>43629</v>
      </c>
      <c r="O91" s="148"/>
      <c r="P91" s="149">
        <v>6</v>
      </c>
      <c r="Q91" s="149">
        <v>0</v>
      </c>
      <c r="R91" s="150">
        <f ca="1">IF(M91="","0",(N91-M91+1)-COUNTIFS(INDIRECT(getCalendarRange(O91)),"&gt;=" &amp; M91,INDIRECT(getCalendarRange(O91)),"&lt;=" &amp; N91))</f>
        <v>6</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1083</v>
      </c>
      <c r="Z91" s="154"/>
      <c r="AA91" s="155">
        <v>0</v>
      </c>
      <c r="AB91" s="156">
        <v>0</v>
      </c>
      <c r="AC91" s="212"/>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소프트웨어설치 6/8-6/13 </v>
      </c>
      <c r="ID91" s="207" t="str">
        <f>TEXT(AB91,"#0.00%") &amp; " "</f>
        <v xml:space="preserve">0.00% </v>
      </c>
      <c r="IE91" s="208"/>
      <c r="IF91" s="208"/>
      <c r="IG91" s="208"/>
      <c r="IH91" s="208"/>
      <c r="II91" s="208"/>
      <c r="IJ91" s="208"/>
      <c r="IK91" s="208"/>
    </row>
    <row r="92" spans="1:245">
      <c r="A92" s="147"/>
      <c r="B92" s="147"/>
      <c r="C92" s="147">
        <v>4</v>
      </c>
      <c r="D92" s="157" t="s">
        <v>986</v>
      </c>
      <c r="E92" s="148"/>
      <c r="F92" s="148"/>
      <c r="G92" s="148"/>
      <c r="H92" s="148" t="s">
        <v>957</v>
      </c>
      <c r="I92" s="148"/>
      <c r="J92" s="148"/>
      <c r="K92" s="148"/>
      <c r="L92" s="148"/>
      <c r="M92" s="126">
        <v>43629</v>
      </c>
      <c r="N92" s="126">
        <v>43630</v>
      </c>
      <c r="O92" s="148"/>
      <c r="P92" s="149">
        <v>2</v>
      </c>
      <c r="Q92" s="149">
        <v>0</v>
      </c>
      <c r="R92" s="150">
        <f ca="1">IF(M92="","0",(N92-M92+1)-COUNTIFS(INDIRECT(getCalendarRange(O92)),"&gt;=" &amp; M92,INDIRECT(getCalendarRange(O92)),"&lt;=" &amp; N92))</f>
        <v>2</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4" t="s">
        <v>1103</v>
      </c>
      <c r="Z92" s="154"/>
      <c r="AA92" s="155">
        <v>0</v>
      </c>
      <c r="AB92" s="156">
        <v>0</v>
      </c>
      <c r="AC92" s="212"/>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c r="ID92" s="208"/>
      <c r="IE92" s="208"/>
      <c r="IF92" s="208"/>
      <c r="IG92" s="208"/>
      <c r="IH92" s="208" t="str">
        <f>H92 &amp; " " &amp; IF(M92="","",TEXT(M92,"M/D-")) &amp; IF(N92="","",TEXT(N92,"M/D")) &amp; " "</f>
        <v xml:space="preserve">시스템오픈 6/13-6/14 </v>
      </c>
      <c r="II92" s="207" t="str">
        <f>TEXT(AB92,"#0.00%") &amp; " "</f>
        <v xml:space="preserve">0.00% </v>
      </c>
      <c r="IJ92" s="208"/>
      <c r="IK92" s="208"/>
    </row>
    <row r="93" spans="1:245">
      <c r="A93" s="159"/>
      <c r="B93" s="159"/>
      <c r="C93" s="159"/>
      <c r="D93" s="160"/>
      <c r="E93" s="161"/>
      <c r="F93" s="161"/>
      <c r="G93" s="161"/>
      <c r="H93" s="161"/>
      <c r="I93" s="161"/>
      <c r="J93" s="161"/>
      <c r="K93" s="161"/>
      <c r="L93" s="161"/>
      <c r="M93" s="162"/>
      <c r="N93" s="162"/>
      <c r="O93" s="161"/>
      <c r="P93" s="163"/>
      <c r="Q93" s="163"/>
      <c r="R93" s="164"/>
      <c r="S93" s="164"/>
      <c r="T93" s="162"/>
      <c r="U93" s="162"/>
      <c r="V93" s="165"/>
      <c r="W93" s="166"/>
      <c r="X93" s="167"/>
      <c r="Y93" s="161"/>
      <c r="Z93" s="168"/>
      <c r="AA93" s="169"/>
      <c r="AB93" s="170"/>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71"/>
      <c r="CE93" s="171"/>
      <c r="CF93" s="171"/>
      <c r="CG93" s="171"/>
      <c r="CH93" s="171"/>
      <c r="CI93" s="171"/>
      <c r="CJ93" s="171"/>
      <c r="CK93" s="171"/>
      <c r="CL93" s="171"/>
      <c r="CM93" s="171"/>
      <c r="CN93" s="171"/>
      <c r="CO93" s="171"/>
      <c r="CP93" s="171"/>
      <c r="CQ93" s="171"/>
      <c r="CR93" s="171"/>
      <c r="CS93" s="171"/>
      <c r="CT93" s="171"/>
      <c r="CU93" s="171"/>
      <c r="CV93" s="171"/>
      <c r="CW93" s="171"/>
      <c r="CX93" s="171"/>
      <c r="CY93" s="171"/>
      <c r="CZ93" s="171"/>
      <c r="DA93" s="171"/>
      <c r="DB93" s="171"/>
      <c r="DC93" s="171"/>
      <c r="DD93" s="171"/>
      <c r="DE93" s="171"/>
      <c r="DF93" s="171"/>
      <c r="DG93" s="171"/>
      <c r="DH93" s="171"/>
      <c r="DI93" s="171"/>
      <c r="DJ93" s="171"/>
      <c r="DK93" s="171"/>
      <c r="DL93" s="171"/>
      <c r="DM93" s="171"/>
      <c r="DN93" s="171"/>
      <c r="DO93" s="171"/>
      <c r="DP93" s="171"/>
      <c r="DQ93" s="171"/>
      <c r="DR93" s="171"/>
      <c r="DS93" s="171"/>
      <c r="DT93" s="171"/>
      <c r="DU93" s="171"/>
      <c r="DV93" s="171"/>
      <c r="DW93" s="171"/>
      <c r="DX93" s="171"/>
      <c r="DY93" s="171"/>
      <c r="DZ93" s="171"/>
      <c r="EA93" s="171"/>
      <c r="EB93" s="171"/>
      <c r="EC93" s="171"/>
      <c r="ED93" s="171"/>
      <c r="EE93" s="171"/>
      <c r="EF93" s="171"/>
      <c r="EG93" s="171"/>
      <c r="EH93" s="171"/>
      <c r="EI93" s="171"/>
      <c r="EJ93" s="171"/>
      <c r="EK93" s="171"/>
      <c r="EL93" s="171"/>
      <c r="EM93" s="171"/>
      <c r="EN93" s="171"/>
      <c r="EO93" s="171"/>
      <c r="EP93" s="171"/>
      <c r="EQ93" s="171"/>
      <c r="ER93" s="171"/>
      <c r="ES93" s="171"/>
      <c r="ET93" s="171"/>
      <c r="EU93" s="171"/>
      <c r="EV93" s="171"/>
      <c r="EW93" s="171"/>
      <c r="EX93" s="171"/>
      <c r="EY93" s="171"/>
      <c r="EZ93" s="171"/>
      <c r="FA93" s="171"/>
      <c r="FB93" s="171"/>
      <c r="FC93" s="171"/>
      <c r="FD93" s="171"/>
      <c r="FE93" s="171"/>
      <c r="FF93" s="171"/>
      <c r="FG93" s="171"/>
      <c r="FH93" s="171"/>
      <c r="FI93" s="171"/>
      <c r="FJ93" s="171"/>
      <c r="FK93" s="171"/>
      <c r="FL93" s="171"/>
      <c r="FM93" s="171"/>
      <c r="FN93" s="171"/>
      <c r="FO93" s="171"/>
      <c r="FP93" s="171"/>
      <c r="FQ93" s="171"/>
      <c r="FR93" s="171"/>
      <c r="FS93" s="171"/>
      <c r="FT93" s="171"/>
      <c r="FU93" s="171"/>
      <c r="FV93" s="171"/>
      <c r="FW93" s="171"/>
      <c r="FX93" s="171"/>
      <c r="FY93" s="171"/>
      <c r="FZ93" s="171"/>
      <c r="GA93" s="171"/>
      <c r="GB93" s="171"/>
      <c r="GC93" s="171"/>
      <c r="GD93" s="171"/>
      <c r="GE93" s="171"/>
      <c r="GF93" s="171"/>
      <c r="GG93" s="171"/>
      <c r="GH93" s="171"/>
      <c r="GI93" s="171"/>
      <c r="GJ93" s="171"/>
      <c r="GK93" s="171"/>
      <c r="GL93" s="171"/>
      <c r="GM93" s="171"/>
      <c r="GN93" s="171"/>
      <c r="GO93" s="171"/>
      <c r="GP93" s="171"/>
      <c r="GQ93" s="171"/>
      <c r="GR93" s="171"/>
      <c r="GS93" s="171"/>
      <c r="GT93" s="171"/>
      <c r="GU93" s="171"/>
      <c r="GV93" s="171"/>
      <c r="GW93" s="171"/>
      <c r="GX93" s="171"/>
      <c r="GY93" s="171"/>
      <c r="GZ93" s="171"/>
      <c r="HA93" s="171"/>
      <c r="HB93" s="171"/>
      <c r="HC93" s="171"/>
      <c r="HD93" s="171"/>
      <c r="HE93" s="171"/>
      <c r="HF93" s="171"/>
      <c r="HG93" s="171"/>
      <c r="HH93" s="171"/>
      <c r="HI93" s="171"/>
      <c r="HJ93" s="171"/>
      <c r="HK93" s="171"/>
      <c r="HL93" s="171"/>
      <c r="HM93" s="171"/>
      <c r="HN93" s="171"/>
      <c r="HO93" s="171"/>
      <c r="HP93" s="171"/>
      <c r="HQ93" s="171"/>
      <c r="HR93" s="171"/>
      <c r="HS93" s="171"/>
      <c r="HT93" s="171"/>
      <c r="HU93" s="171"/>
      <c r="HV93" s="171"/>
      <c r="HW93" s="171"/>
      <c r="HX93" s="171"/>
      <c r="HY93" s="171"/>
      <c r="HZ93" s="171"/>
      <c r="IA93" s="171"/>
      <c r="IB93" s="171"/>
      <c r="IC93" s="171"/>
      <c r="ID93" s="171"/>
      <c r="IE93" s="171"/>
      <c r="IF93" s="171"/>
      <c r="IG93" s="171"/>
      <c r="IH93" s="171"/>
      <c r="II93" s="171"/>
      <c r="IJ93" s="171"/>
      <c r="IK93" s="171"/>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59"/>
      <c r="B106" s="159"/>
      <c r="C106" s="159"/>
      <c r="D106" s="160"/>
      <c r="E106" s="161"/>
      <c r="F106" s="161"/>
      <c r="G106" s="161"/>
      <c r="H106" s="161"/>
      <c r="I106" s="161"/>
      <c r="J106" s="161"/>
      <c r="K106" s="161"/>
      <c r="L106" s="161"/>
      <c r="M106" s="162"/>
      <c r="N106" s="162"/>
      <c r="O106" s="161"/>
      <c r="P106" s="163"/>
      <c r="Q106" s="163"/>
      <c r="R106" s="164"/>
      <c r="S106" s="164"/>
      <c r="T106" s="162"/>
      <c r="U106" s="162"/>
      <c r="V106" s="165"/>
      <c r="W106" s="166"/>
      <c r="X106" s="167"/>
      <c r="Y106" s="161"/>
      <c r="Z106" s="168"/>
      <c r="AA106" s="169"/>
      <c r="AB106" s="170"/>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59"/>
      <c r="B133" s="159"/>
      <c r="C133" s="159"/>
      <c r="D133" s="160"/>
      <c r="E133" s="161"/>
      <c r="F133" s="161"/>
      <c r="G133" s="161"/>
      <c r="H133" s="161"/>
      <c r="I133" s="161"/>
      <c r="J133" s="161"/>
      <c r="K133" s="161"/>
      <c r="L133" s="161"/>
      <c r="M133" s="162"/>
      <c r="N133" s="162"/>
      <c r="O133" s="161"/>
      <c r="P133" s="163"/>
      <c r="Q133" s="163"/>
      <c r="R133" s="164"/>
      <c r="S133" s="164"/>
      <c r="T133" s="162"/>
      <c r="U133" s="162"/>
      <c r="V133" s="165"/>
      <c r="W133" s="166"/>
      <c r="X133" s="167"/>
      <c r="Y133" s="161"/>
      <c r="Z133" s="168"/>
      <c r="AA133" s="169"/>
      <c r="AB133" s="170"/>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59"/>
      <c r="B139" s="159"/>
      <c r="C139" s="159"/>
      <c r="D139" s="160"/>
      <c r="E139" s="161"/>
      <c r="F139" s="161"/>
      <c r="G139" s="161"/>
      <c r="H139" s="161"/>
      <c r="I139" s="161"/>
      <c r="J139" s="161"/>
      <c r="K139" s="161"/>
      <c r="L139" s="161"/>
      <c r="M139" s="162"/>
      <c r="N139" s="162"/>
      <c r="O139" s="161"/>
      <c r="P139" s="163"/>
      <c r="Q139" s="163"/>
      <c r="R139" s="164"/>
      <c r="S139" s="164"/>
      <c r="T139" s="162"/>
      <c r="U139" s="162"/>
      <c r="V139" s="165"/>
      <c r="W139" s="166"/>
      <c r="X139" s="167"/>
      <c r="Y139" s="161"/>
      <c r="Z139" s="168"/>
      <c r="AA139" s="169"/>
      <c r="AB139" s="170"/>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8"/>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35"/>
      <c r="B221" s="135"/>
      <c r="C221" s="135"/>
      <c r="D221" s="136"/>
      <c r="E221" s="137"/>
      <c r="F221" s="137"/>
      <c r="G221" s="137"/>
      <c r="H221" s="137"/>
      <c r="I221" s="137"/>
      <c r="J221" s="137"/>
      <c r="K221" s="137"/>
      <c r="L221" s="137"/>
      <c r="M221" s="138"/>
      <c r="N221" s="138"/>
      <c r="O221" s="137"/>
      <c r="P221" s="139"/>
      <c r="Q221" s="139"/>
      <c r="R221" s="140"/>
      <c r="S221" s="140"/>
      <c r="T221" s="138"/>
      <c r="U221" s="138"/>
      <c r="V221" s="141"/>
      <c r="W221" s="142"/>
      <c r="X221" s="143"/>
      <c r="Y221" s="137"/>
      <c r="Z221" s="144"/>
      <c r="AA221" s="145"/>
      <c r="AB221" s="146"/>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IE3:IK3"/>
    <mergeCell ref="GV3:HB3"/>
    <mergeCell ref="HC3:HI3"/>
    <mergeCell ref="HJ3:HP3"/>
    <mergeCell ref="HQ3:HW3"/>
    <mergeCell ref="HX3:ID3"/>
    <mergeCell ref="FF3:FL3"/>
    <mergeCell ref="FM3:FS3"/>
    <mergeCell ref="FT3:FZ3"/>
    <mergeCell ref="GA3:GG3"/>
    <mergeCell ref="BZ3:CF3"/>
    <mergeCell ref="EY3:FE3"/>
    <mergeCell ref="CG3:CM3"/>
    <mergeCell ref="DW3:EC3"/>
    <mergeCell ref="ED3:EJ3"/>
    <mergeCell ref="D2:F2"/>
    <mergeCell ref="W3:W4"/>
    <mergeCell ref="O3:O4"/>
    <mergeCell ref="P3:P4"/>
    <mergeCell ref="Q3:Q4"/>
    <mergeCell ref="S3:S4"/>
    <mergeCell ref="T3:T4"/>
    <mergeCell ref="V3:V4"/>
    <mergeCell ref="L3:L4"/>
    <mergeCell ref="M3:M4"/>
    <mergeCell ref="N3:N4"/>
    <mergeCell ref="R3:R4"/>
    <mergeCell ref="U3:U4"/>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K58:L58"/>
    <mergeCell ref="AC1:CA1"/>
    <mergeCell ref="EK3:EQ3"/>
    <mergeCell ref="ER3:EX3"/>
    <mergeCell ref="CN3:CT3"/>
    <mergeCell ref="CU3:DA3"/>
    <mergeCell ref="DB3:DH3"/>
    <mergeCell ref="DI3:DO3"/>
    <mergeCell ref="DP3:DV3"/>
    <mergeCell ref="AQ3:AW3"/>
    <mergeCell ref="AX3:BD3"/>
    <mergeCell ref="BE3:BK3"/>
  </mergeCells>
  <phoneticPr fontId="1" type="noConversion"/>
  <conditionalFormatting sqref="AC5:IK92">
    <cfRule type="expression" dxfId="11" priority="19">
      <formula>AC$4=TODAY()</formula>
    </cfRule>
    <cfRule type="expression" dxfId="10" priority="20">
      <formula>AND(AC$4&gt;= $M5,AC$4&lt;=$N5, $B5="G")</formula>
    </cfRule>
    <cfRule type="expression" dxfId="9" priority="21" stopIfTrue="1">
      <formula>AND(AC$4&gt;= $M5,AC$4&lt;=$N5)</formula>
    </cfRule>
    <cfRule type="expression" dxfId="8" priority="22" stopIfTrue="1">
      <formula>COUNTIF(STD_CAL,AC$4)&gt;0</formula>
    </cfRule>
  </conditionalFormatting>
  <conditionalFormatting sqref="D5:AB92">
    <cfRule type="expression" dxfId="0"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4414062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7.15" customHeight="1">
      <c r="A1" s="115" t="s">
        <v>1069</v>
      </c>
      <c r="B1" s="116"/>
      <c r="C1" s="116"/>
      <c r="D1" s="116"/>
      <c r="E1" s="116"/>
      <c r="F1" s="116"/>
      <c r="G1" s="116"/>
      <c r="H1" s="116"/>
      <c r="I1" s="116"/>
      <c r="J1" s="116"/>
      <c r="K1" s="116"/>
      <c r="L1" s="238"/>
      <c r="M1" s="239"/>
      <c r="N1" s="239"/>
      <c r="O1" s="87"/>
      <c r="P1" s="87"/>
      <c r="Q1" s="87"/>
    </row>
    <row r="2" spans="1:17" s="41" customFormat="1" ht="12.75">
      <c r="A2" s="124" t="s">
        <v>1017</v>
      </c>
      <c r="B2" s="40"/>
    </row>
    <row r="3" spans="1:17" s="41" customFormat="1" ht="12.75">
      <c r="A3" s="124" t="s">
        <v>1018</v>
      </c>
      <c r="B3" s="40"/>
    </row>
    <row r="4" spans="1:17" s="41" customFormat="1" ht="12.75">
      <c r="A4" s="240"/>
      <c r="B4" s="240"/>
      <c r="C4" s="42"/>
      <c r="D4" s="43"/>
      <c r="E4" s="43"/>
      <c r="F4" s="43"/>
    </row>
    <row r="5" spans="1:17" s="47" customFormat="1" ht="12.75">
      <c r="A5" s="44"/>
      <c r="B5" s="45"/>
      <c r="C5" s="46"/>
      <c r="D5" s="93"/>
      <c r="E5" s="94"/>
      <c r="F5" s="94"/>
      <c r="G5" s="94"/>
    </row>
    <row r="6" spans="1:17" s="47" customFormat="1" ht="12.75">
      <c r="A6" s="48" t="s">
        <v>1019</v>
      </c>
      <c r="B6" s="49">
        <v>973</v>
      </c>
      <c r="C6" s="47" t="s">
        <v>187</v>
      </c>
      <c r="D6" s="237" t="s">
        <v>1020</v>
      </c>
      <c r="E6" s="237"/>
      <c r="F6" s="237"/>
      <c r="G6" s="237"/>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447</v>
      </c>
      <c r="C9" s="47" t="s">
        <v>187</v>
      </c>
      <c r="D9" s="236" t="s">
        <v>1022</v>
      </c>
      <c r="E9" s="236"/>
      <c r="F9" s="236"/>
      <c r="G9" s="236"/>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418.6</v>
      </c>
      <c r="C12" s="47" t="s">
        <v>187</v>
      </c>
      <c r="D12" s="236" t="s">
        <v>1081</v>
      </c>
      <c r="E12" s="236"/>
      <c r="F12" s="236"/>
      <c r="G12" s="236"/>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6" t="s">
        <v>1024</v>
      </c>
      <c r="E15" s="236"/>
      <c r="F15" s="236"/>
      <c r="G15" s="236"/>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0.45940390544707094</v>
      </c>
      <c r="D18" s="236" t="s">
        <v>1026</v>
      </c>
      <c r="E18" s="236"/>
      <c r="F18" s="236"/>
      <c r="G18" s="236"/>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0.43021582733812952</v>
      </c>
      <c r="D21" s="236" t="s">
        <v>1028</v>
      </c>
      <c r="E21" s="236"/>
      <c r="F21" s="236"/>
      <c r="G21" s="236"/>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-2.9188078108941418E-2</v>
      </c>
      <c r="D24" s="237" t="s">
        <v>1030</v>
      </c>
      <c r="E24" s="237"/>
      <c r="F24" s="237"/>
      <c r="G24" s="237"/>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6"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8671875" defaultRowHeight="15"/>
  <cols>
    <col min="1" max="1" width="1.77734375" style="181" customWidth="1"/>
    <col min="2" max="4" width="8.88671875" style="181"/>
    <col min="5" max="5" width="10.77734375" style="181" customWidth="1"/>
    <col min="6" max="16384" width="8.88671875" style="181"/>
  </cols>
  <sheetData>
    <row r="1" spans="2:6" ht="37.15" customHeight="1">
      <c r="B1" s="114" t="s">
        <v>1121</v>
      </c>
    </row>
    <row r="2" spans="2:6">
      <c r="B2" s="181" t="s">
        <v>1122</v>
      </c>
    </row>
    <row r="3" spans="2:6">
      <c r="B3" s="181" t="s">
        <v>1123</v>
      </c>
    </row>
    <row r="6" spans="2:6" ht="30">
      <c r="B6" s="113" t="s">
        <v>421</v>
      </c>
      <c r="C6" s="133" t="s">
        <v>369</v>
      </c>
      <c r="D6" s="133" t="s">
        <v>139</v>
      </c>
      <c r="E6" s="133" t="s">
        <v>1124</v>
      </c>
      <c r="F6" s="182" t="s">
        <v>407</v>
      </c>
    </row>
    <row r="7" spans="2:6">
      <c r="B7" s="177">
        <v>43460</v>
      </c>
      <c r="C7" s="177">
        <v>43463</v>
      </c>
      <c r="D7" s="178">
        <v>8</v>
      </c>
      <c r="E7" s="178">
        <f>D7</f>
        <v>8</v>
      </c>
      <c r="F7" s="209">
        <f t="shared" ref="F7:F17" si="0">E7/$D$18</f>
        <v>4.8192771084337352E-2</v>
      </c>
    </row>
    <row r="8" spans="2:6">
      <c r="B8" s="179">
        <v>43464</v>
      </c>
      <c r="C8" s="179">
        <v>43470</v>
      </c>
      <c r="D8" s="180">
        <v>24</v>
      </c>
      <c r="E8" s="180">
        <f>E7+D8</f>
        <v>32</v>
      </c>
      <c r="F8" s="210">
        <f t="shared" si="0"/>
        <v>0.19277108433734941</v>
      </c>
    </row>
    <row r="9" spans="2:6">
      <c r="B9" s="179">
        <v>43471</v>
      </c>
      <c r="C9" s="179">
        <v>43477</v>
      </c>
      <c r="D9" s="180">
        <v>28</v>
      </c>
      <c r="E9" s="180">
        <f t="shared" ref="E9:E17" si="1">E8+D9</f>
        <v>60</v>
      </c>
      <c r="F9" s="210">
        <f t="shared" si="0"/>
        <v>0.36144578313253012</v>
      </c>
    </row>
    <row r="10" spans="2:6">
      <c r="B10" s="179">
        <v>43478</v>
      </c>
      <c r="C10" s="179">
        <v>43484</v>
      </c>
      <c r="D10" s="180">
        <v>31</v>
      </c>
      <c r="E10" s="180">
        <f t="shared" si="1"/>
        <v>91</v>
      </c>
      <c r="F10" s="210">
        <f t="shared" si="0"/>
        <v>0.54819277108433739</v>
      </c>
    </row>
    <row r="11" spans="2:6">
      <c r="B11" s="179">
        <v>43485</v>
      </c>
      <c r="C11" s="179">
        <v>43491</v>
      </c>
      <c r="D11" s="180">
        <v>28</v>
      </c>
      <c r="E11" s="180">
        <f t="shared" si="1"/>
        <v>119</v>
      </c>
      <c r="F11" s="210">
        <f t="shared" si="0"/>
        <v>0.7168674698795181</v>
      </c>
    </row>
    <row r="12" spans="2:6">
      <c r="B12" s="179">
        <v>43492</v>
      </c>
      <c r="C12" s="179">
        <v>43498</v>
      </c>
      <c r="D12" s="180">
        <v>23.000000000000007</v>
      </c>
      <c r="E12" s="180">
        <f t="shared" si="1"/>
        <v>142</v>
      </c>
      <c r="F12" s="210">
        <f t="shared" si="0"/>
        <v>0.85542168674698793</v>
      </c>
    </row>
    <row r="13" spans="2:6">
      <c r="B13" s="179">
        <v>43499</v>
      </c>
      <c r="C13" s="179">
        <v>43505</v>
      </c>
      <c r="D13" s="180">
        <v>5.0000000000000009</v>
      </c>
      <c r="E13" s="180">
        <f t="shared" si="1"/>
        <v>147</v>
      </c>
      <c r="F13" s="210">
        <f t="shared" si="0"/>
        <v>0.88554216867469882</v>
      </c>
    </row>
    <row r="14" spans="2:6">
      <c r="B14" s="179">
        <v>43513</v>
      </c>
      <c r="C14" s="179">
        <v>43519</v>
      </c>
      <c r="D14" s="180">
        <v>3</v>
      </c>
      <c r="E14" s="180">
        <f t="shared" si="1"/>
        <v>150</v>
      </c>
      <c r="F14" s="210">
        <f t="shared" si="0"/>
        <v>0.90361445783132532</v>
      </c>
    </row>
    <row r="15" spans="2:6">
      <c r="B15" s="179">
        <v>43541</v>
      </c>
      <c r="C15" s="179">
        <v>43547</v>
      </c>
      <c r="D15" s="180">
        <v>3</v>
      </c>
      <c r="E15" s="180">
        <f t="shared" si="1"/>
        <v>153</v>
      </c>
      <c r="F15" s="210">
        <f t="shared" si="0"/>
        <v>0.92168674698795183</v>
      </c>
    </row>
    <row r="16" spans="2:6">
      <c r="B16" s="179">
        <v>43576</v>
      </c>
      <c r="C16" s="179">
        <v>43582</v>
      </c>
      <c r="D16" s="180">
        <v>8</v>
      </c>
      <c r="E16" s="180">
        <f t="shared" si="1"/>
        <v>161</v>
      </c>
      <c r="F16" s="210">
        <f t="shared" si="0"/>
        <v>0.96987951807228912</v>
      </c>
    </row>
    <row r="17" spans="2:6">
      <c r="B17" s="179">
        <v>43583</v>
      </c>
      <c r="C17" s="179">
        <v>43589</v>
      </c>
      <c r="D17" s="180">
        <v>5</v>
      </c>
      <c r="E17" s="180">
        <f t="shared" si="1"/>
        <v>166</v>
      </c>
      <c r="F17" s="210">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44140625" style="117" customWidth="1"/>
    <col min="6" max="6" width="8.88671875" style="117"/>
    <col min="7" max="7" width="21.4414062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7.15" customHeight="1">
      <c r="A1" s="115" t="s">
        <v>1033</v>
      </c>
      <c r="B1" s="115"/>
      <c r="C1" s="115"/>
      <c r="D1" s="115"/>
      <c r="E1" s="115"/>
      <c r="F1" s="115"/>
      <c r="G1" s="115"/>
      <c r="H1" s="115"/>
    </row>
    <row r="2" spans="1:9" s="118" customFormat="1" ht="78.75" customHeight="1">
      <c r="A2" s="242" t="s">
        <v>1034</v>
      </c>
      <c r="B2" s="242"/>
      <c r="C2" s="242"/>
      <c r="D2" s="242"/>
      <c r="E2" s="242"/>
      <c r="F2" s="242"/>
      <c r="G2" s="242"/>
      <c r="H2" s="242"/>
    </row>
    <row r="3" spans="1:9" s="118" customFormat="1" ht="24.75" customHeight="1">
      <c r="A3" s="241" t="s">
        <v>23</v>
      </c>
      <c r="B3" s="241"/>
      <c r="D3" s="241" t="s">
        <v>1035</v>
      </c>
      <c r="E3" s="241"/>
      <c r="G3" s="241" t="s">
        <v>1036</v>
      </c>
      <c r="H3" s="241"/>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44140625" style="2" bestFit="1" customWidth="1"/>
    <col min="6" max="6" width="29.21875" style="2" bestFit="1" customWidth="1"/>
    <col min="7" max="7" width="27.33203125" style="5" customWidth="1"/>
    <col min="8" max="8" width="23.44140625" style="5" bestFit="1" customWidth="1"/>
    <col min="9" max="9" width="21.109375" style="5" bestFit="1" customWidth="1"/>
    <col min="10" max="10" width="24.44140625" style="5" bestFit="1" customWidth="1"/>
    <col min="11" max="11" width="5.77734375" style="5" bestFit="1" customWidth="1"/>
    <col min="12" max="12" width="17.88671875" style="5" bestFit="1" customWidth="1"/>
    <col min="13" max="13" width="14.4414062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44140625" style="89" bestFit="1" customWidth="1"/>
    <col min="3" max="3" width="13.44140625" style="89" bestFit="1" customWidth="1"/>
    <col min="4" max="4" width="52.4414062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UX410UF</cp:lastModifiedBy>
  <cp:lastPrinted>2015-10-24T14:06:22Z</cp:lastPrinted>
  <dcterms:created xsi:type="dcterms:W3CDTF">2000-03-16T11:25:57Z</dcterms:created>
  <dcterms:modified xsi:type="dcterms:W3CDTF">2019-03-18T01:28:04Z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