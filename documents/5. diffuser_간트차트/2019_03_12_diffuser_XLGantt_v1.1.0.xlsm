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D:\캡스톤 발표\"/>
    </mc:Choice>
  </mc:AlternateContent>
  <xr:revisionPtr revIDLastSave="0" documentId="13_ncr:1_{074D7C9C-1E1B-4F92-ADE5-2632E843CD13}"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7" i="1"/>
  <c r="DF57" i="1"/>
  <c r="DG57" i="1"/>
  <c r="W58" i="1"/>
  <c r="DF58" i="1"/>
  <c r="DG58" i="1"/>
  <c r="S59" i="1"/>
  <c r="W59" i="1"/>
  <c r="FE59" i="1"/>
  <c r="FF59" i="1"/>
  <c r="W60" i="1"/>
  <c r="DL60" i="1"/>
  <c r="DM60" i="1"/>
  <c r="W61" i="1"/>
  <c r="DL61" i="1"/>
  <c r="DM61" i="1"/>
  <c r="W62" i="1"/>
  <c r="DS62" i="1"/>
  <c r="DT62" i="1"/>
  <c r="W63" i="1"/>
  <c r="DZ63" i="1"/>
  <c r="EA63" i="1"/>
  <c r="W64" i="1"/>
  <c r="EG64" i="1"/>
  <c r="EH64" i="1"/>
  <c r="S65" i="1"/>
  <c r="W65" i="1"/>
  <c r="EU65" i="1"/>
  <c r="EV65" i="1"/>
  <c r="S66" i="1"/>
  <c r="W66" i="1"/>
  <c r="FK66" i="1"/>
  <c r="FL66" i="1"/>
  <c r="W67" i="1"/>
  <c r="DF67" i="1"/>
  <c r="DG67" i="1"/>
  <c r="W68" i="1"/>
  <c r="EL68" i="1"/>
  <c r="EM68" i="1"/>
  <c r="W69" i="1"/>
  <c r="EL69" i="1"/>
  <c r="EM69" i="1"/>
  <c r="W70" i="1"/>
  <c r="DF70" i="1"/>
  <c r="DG70" i="1"/>
  <c r="W71" i="1"/>
  <c r="DO71" i="1"/>
  <c r="DP71" i="1"/>
  <c r="W72" i="1"/>
  <c r="DY72" i="1"/>
  <c r="DZ72" i="1"/>
  <c r="S73" i="1"/>
  <c r="W73" i="1"/>
  <c r="FE73" i="1"/>
  <c r="FF73" i="1"/>
  <c r="S74" i="1"/>
  <c r="W74" i="1"/>
  <c r="FP74" i="1"/>
  <c r="FQ74" i="1"/>
  <c r="W75" i="1"/>
  <c r="DF75" i="1"/>
  <c r="DG75" i="1"/>
  <c r="W76" i="1"/>
  <c r="EL76" i="1"/>
  <c r="EM76" i="1"/>
  <c r="W77" i="1"/>
  <c r="EL77" i="1"/>
  <c r="EM77" i="1"/>
  <c r="W78" i="1"/>
  <c r="DF78" i="1"/>
  <c r="DG78" i="1"/>
  <c r="W79" i="1"/>
  <c r="DO79" i="1"/>
  <c r="DP79" i="1"/>
  <c r="W80" i="1"/>
  <c r="DY80" i="1"/>
  <c r="DZ80" i="1"/>
  <c r="S81" i="1"/>
  <c r="W81" i="1"/>
  <c r="FE81" i="1"/>
  <c r="FF81" i="1"/>
  <c r="S82" i="1"/>
  <c r="W82" i="1"/>
  <c r="FP82" i="1"/>
  <c r="FQ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13" i="1"/>
  <c r="R22" i="1"/>
  <c r="R30" i="1"/>
  <c r="R38" i="1"/>
  <c r="R46" i="1"/>
  <c r="R54" i="1"/>
  <c r="R62" i="1"/>
  <c r="R70" i="1"/>
  <c r="R78" i="1"/>
  <c r="R86" i="1"/>
  <c r="S5" i="1"/>
  <c r="R10" i="1"/>
  <c r="R19" i="1"/>
  <c r="R27" i="1"/>
  <c r="R35" i="1"/>
  <c r="R43" i="1"/>
  <c r="R51" i="1"/>
  <c r="S54" i="1"/>
  <c r="R59" i="1"/>
  <c r="R67" i="1"/>
  <c r="R75" i="1"/>
  <c r="R83" i="1"/>
  <c r="R91" i="1"/>
  <c r="R88" i="1"/>
  <c r="R7" i="1"/>
  <c r="R15" i="1"/>
  <c r="R24" i="1"/>
  <c r="R32" i="1"/>
  <c r="R40" i="1"/>
  <c r="S43" i="1"/>
  <c r="R48" i="1"/>
  <c r="R56" i="1"/>
  <c r="R64" i="1"/>
  <c r="S67" i="1"/>
  <c r="R72" i="1"/>
  <c r="S75" i="1"/>
  <c r="R80" i="1"/>
  <c r="R12" i="1"/>
  <c r="R21" i="1"/>
  <c r="R29" i="1"/>
  <c r="R37" i="1"/>
  <c r="S40" i="1"/>
  <c r="R45" i="1"/>
  <c r="R53" i="1"/>
  <c r="S56" i="1"/>
  <c r="R61" i="1"/>
  <c r="S64" i="1"/>
  <c r="R69" i="1"/>
  <c r="R77" i="1"/>
  <c r="R85" i="1"/>
  <c r="R87" i="1"/>
  <c r="W7" i="1"/>
  <c r="R9" i="1"/>
  <c r="R18" i="1"/>
  <c r="S21" i="1"/>
  <c r="R26" i="1"/>
  <c r="R34" i="1"/>
  <c r="S37" i="1"/>
  <c r="R42" i="1"/>
  <c r="R50" i="1"/>
  <c r="R58" i="1"/>
  <c r="R66" i="1"/>
  <c r="S69" i="1"/>
  <c r="R74" i="1"/>
  <c r="S77" i="1"/>
  <c r="R82" i="1"/>
  <c r="R90" i="1"/>
  <c r="R92" i="1"/>
  <c r="R6" i="1"/>
  <c r="R14" i="1"/>
  <c r="R23" i="1"/>
  <c r="R31" i="1"/>
  <c r="R39" i="1"/>
  <c r="R47" i="1"/>
  <c r="R55" i="1"/>
  <c r="R63" i="1"/>
  <c r="R71" i="1"/>
  <c r="R79" i="1"/>
  <c r="R89" i="1"/>
  <c r="W9" i="1"/>
  <c r="R11" i="1"/>
  <c r="R20" i="1"/>
  <c r="R28" i="1"/>
  <c r="R36" i="1"/>
  <c r="S39" i="1"/>
  <c r="R44" i="1"/>
  <c r="S47" i="1"/>
  <c r="R52" i="1"/>
  <c r="S55" i="1"/>
  <c r="R60" i="1"/>
  <c r="R68" i="1"/>
  <c r="R76" i="1"/>
  <c r="R84" i="1"/>
  <c r="R8" i="1"/>
  <c r="S11" i="1"/>
  <c r="R17" i="1"/>
  <c r="R25" i="1"/>
  <c r="R33" i="1"/>
  <c r="S36" i="1"/>
  <c r="R41" i="1"/>
  <c r="R49" i="1"/>
  <c r="R57" i="1"/>
  <c r="R65" i="1"/>
  <c r="S68" i="1"/>
  <c r="R73" i="1"/>
  <c r="S76" i="1"/>
  <c r="R81" i="1"/>
  <c r="S57" i="1" l="1"/>
  <c r="S49" i="1"/>
  <c r="S41" i="1"/>
  <c r="S33" i="1"/>
  <c r="S25" i="1"/>
  <c r="S8" i="1"/>
  <c r="S60" i="1"/>
  <c r="S52" i="1"/>
  <c r="S44" i="1"/>
  <c r="S28" i="1"/>
  <c r="S79" i="1"/>
  <c r="S71" i="1"/>
  <c r="S63" i="1"/>
  <c r="S31" i="1"/>
  <c r="S23" i="1"/>
  <c r="S6" i="1"/>
  <c r="S58" i="1"/>
  <c r="S50" i="1"/>
  <c r="S42" i="1"/>
  <c r="S34" i="1"/>
  <c r="S26" i="1"/>
  <c r="S9" i="1"/>
  <c r="S61" i="1"/>
  <c r="S53" i="1"/>
  <c r="S45" i="1"/>
  <c r="S29" i="1"/>
  <c r="S12" i="1"/>
  <c r="S80" i="1"/>
  <c r="S72" i="1"/>
  <c r="S48" i="1"/>
  <c r="S32" i="1"/>
  <c r="S24" i="1"/>
  <c r="S7" i="1"/>
  <c r="S51" i="1"/>
  <c r="S35" i="1"/>
  <c r="S27" i="1"/>
  <c r="S10" i="1"/>
  <c r="S78" i="1"/>
  <c r="S70" i="1"/>
  <c r="S62" i="1"/>
  <c r="S38" i="1"/>
  <c r="S30" i="1"/>
  <c r="S2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<sst xmlns="http://schemas.openxmlformats.org/spreadsheetml/2006/main" count="1585" uniqueCount="1186">
  <si>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</si>
  <si>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</si>
  <si>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</si>
  <si>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</si>
  <si>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</si>
  <si>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</si>
  <si>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</si>
  <si>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</si>
  <si>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</si>
  <si>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</si>
  <si>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</si>
  <si>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</si>
  <si>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</si>
  <si>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</si>
  <si>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</si>
  <si>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</si>
  <si>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</si>
  <si>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</si>
  <si>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</si>
  <si>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</si>
  <si>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</si>
  <si>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</si>
  <si>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</si>
  <si>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</si>
  <si>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</si>
  <si>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</si>
  <si>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</si>
  <si>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</si>
  <si>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</si>
  <si>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</si>
  <si>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</si>
  <si>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</si>
  <si>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</si>
  <si>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</si>
  <si>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</si>
  <si>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</si>
  <si>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</si>
  <si>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</si>
  <si>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</si>
  <si>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</si>
  <si>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</si>
  <si>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</si>
  <si>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</si>
  <si>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</si>
  <si>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</si>
  <si>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</si>
  <si>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</si>
  <si>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</si>
  <si>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</si>
  <si>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</si>
  <si>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</si>
  <si>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</si>
  <si>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</si>
  <si>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</si>
  <si>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</si>
  <si>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</si>
  <si>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</si>
  <si>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</si>
  <si>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</si>
  <si>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</si>
  <si>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</si>
  <si>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</si>
  <si>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</si>
  <si>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</si>
  <si>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</si>
  <si>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</si>
  <si>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</si>
  <si>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</si>
  <si>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</si>
  <si>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</si>
  <si>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</si>
  <si>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</si>
  <si>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</si>
  <si>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</si>
  <si>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</si>
  <si>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</si>
  <si>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</si>
  <si>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</si>
  <si>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</si>
  <si>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</si>
  <si>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</si>
  <si>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</si>
  <si>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</si>
  <si>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</si>
  <si>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</si>
  <si>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</si>
  <si>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</si>
  <si>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</si>
  <si>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</si>
  <si>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</si>
  <si>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</si>
  <si>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</si>
  <si>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</si>
  <si>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</si>
  <si>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</si>
  <si>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</si>
  <si>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</si>
  <si>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</si>
  <si>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</si>
  <si>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</si>
  <si>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</si>
  <si>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</si>
  <si>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</si>
  <si>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</si>
  <si>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</si>
  <si>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</si>
  <si>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</si>
  <si>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</si>
  <si>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</si>
  <si>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</si>
  <si>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</si>
  <si>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</si>
  <si>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</si>
  <si>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</si>
  <si>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</si>
  <si>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</si>
  <si>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</si>
  <si>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</si>
  <si>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</si>
  <si>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</si>
  <si>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</si>
  <si>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</si>
  <si>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</si>
  <si>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</si>
  <si>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</si>
  <si>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</si>
  <si>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</si>
  <si>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</si>
  <si>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</si>
  <si>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</si>
  <si>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</si>
  <si>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</si>
  <si>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</si>
  <si>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</si>
  <si>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</si>
  <si>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</si>
  <si>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</si>
  <si>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</si>
  <si>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</si>
  <si>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</si>
  <si>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</si>
  <si>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</si>
  <si>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</si>
  <si>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</si>
  <si>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</si>
  <si>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</si>
  <si>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</si>
  <si>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</si>
  <si>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</si>
  <si>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</si>
  <si>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</si>
  <si>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</si>
  <si>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</si>
  <si>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</si>
  <si>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</si>
  <si>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</si>
  <si>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</si>
  <si>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</si>
  <si>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</si>
  <si>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</si>
  <si>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</si>
  <si>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</si>
  <si>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</si>
  <si>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</si>
  <si>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</si>
  <si>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</si>
  <si>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</si>
  <si>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</si>
  <si>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</si>
  <si>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</si>
  <si>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</si>
  <si>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</si>
  <si>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</si>
  <si>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</si>
  <si>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</si>
  <si>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</si>
  <si>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</si>
  <si>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</si>
  <si>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</si>
  <si>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</si>
  <si>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</si>
  <si>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</si>
  <si>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</si>
  <si>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</si>
  <si>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</si>
  <si>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</si>
  <si>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</si>
  <si>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</si>
  <si>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</si>
  <si>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</si>
  <si>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</si>
  <si>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</si>
  <si>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</si>
  <si>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</si>
  <si>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</si>
  <si>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</si>
  <si>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</si>
  <si>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</si>
  <si>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</si>
  <si>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</si>
  <si>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</si>
  <si>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</si>
  <si>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</si>
  <si>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</si>
  <si>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</si>
  <si>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</si>
  <si>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</si>
  <si>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</si>
  <si>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</si>
  <si>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</si>
  <si>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</si>
  <si>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</si>
  <si>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</si>
  <si>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</si>
  <si>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</si>
  <si>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</si>
  <si>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</si>
  <si>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</si>
  <si>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</si>
  <si>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</si>
  <si>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</si>
  <si>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</si>
  <si>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</si>
  <si>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</si>
  <si>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</si>
  <si>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</si>
  <si>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</si>
  <si>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</si>
  <si>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</si>
  <si>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</si>
  <si>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</si>
  <si>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</si>
  <si>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</si>
  <si>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</si>
  <si>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</si>
  <si>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</si>
  <si>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</si>
  <si>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</si>
  <si>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</si>
  <si>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</si>
  <si>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</si>
  <si>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</si>
  <si>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</si>
  <si>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</si>
  <si>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</si>
  <si>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</si>
  <si>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</si>
  <si>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</si>
  <si>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</si>
  <si>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</si>
  <si>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</si>
  <si>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</si>
  <si>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</si>
  <si>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</si>
  <si>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</si>
  <si>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</si>
  <si>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</si>
  <si>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</si>
  <si>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</si>
  <si>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</si>
  <si>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</si>
  <si>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</si>
  <si>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</si>
  <si>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</si>
  <si>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</si>
  <si>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</si>
  <si>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</si>
  <si>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</si>
  <si>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</si>
  <si>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</si>
  <si>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</si>
  <si>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</si>
  <si>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</si>
  <si>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</si>
  <si>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</si>
  <si>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</si>
  <si>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</si>
  <si>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</si>
  <si>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</si>
  <si>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</si>
  <si>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</si>
  <si>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</si>
  <si>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</si>
  <si>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</si>
  <si>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</si>
  <si>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</si>
  <si>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</si>
  <si>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</si>
  <si>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</si>
  <si>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</si>
  <si>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</si>
  <si>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</si>
  <si>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</si>
  <si>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</si>
  <si>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</si>
  <si>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</si>
  <si>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</si>
  <si>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</si>
  <si>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</si>
  <si>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</si>
  <si>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</si>
  <si>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</si>
  <si>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</si>
  <si>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</si>
  <si>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</si>
  <si>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</si>
  <si>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</si>
  <si>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</si>
  <si>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</si>
  <si>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</si>
  <si>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</si>
  <si>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</si>
  <si>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</si>
  <si>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</si>
  <si>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</si>
  <si>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</si>
  <si>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</si>
  <si>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</si>
  <si>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</si>
  <si>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</si>
  <si>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</si>
  <si>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</si>
  <si>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</si>
  <si>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</si>
  <si>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</si>
  <si>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</si>
  <si>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</si>
  <si>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</si>
  <si>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</si>
  <si>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</si>
  <si>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</si>
  <si>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</si>
  <si>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</si>
  <si>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</si>
  <si>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</si>
  <si>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</si>
  <si>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</si>
  <si>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</si>
  <si>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</si>
  <si>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</si>
  <si>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</si>
  <si>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</si>
  <si>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</si>
  <si>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</si>
  <si>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</si>
  <si>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</si>
  <si>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</si>
  <si>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</si>
  <si>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</si>
  <si>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</si>
  <si>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</si>
  <si>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</si>
  <si>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</si>
  <si>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</si>
  <si>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</si>
  <si>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</si>
  <si>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</si>
  <si>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</si>
  <si>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</si>
  <si>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</si>
  <si>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</si>
  <si>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</si>
  <si>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</si>
  <si>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</si>
  <si>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</si>
  <si>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</si>
  <si>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</si>
  <si>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</si>
  <si>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</si>
  <si>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</si>
  <si>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</si>
  <si>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</si>
  <si>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</si>
  <si>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</si>
  <si>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</si>
  <si>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</si>
  <si>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</si>
  <si>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</si>
  <si>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</si>
  <si>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</si>
  <si>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</si>
  <si>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</si>
  <si>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</si>
  <si>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</si>
  <si>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</si>
  <si>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</si>
  <si>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</si>
  <si>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</si>
  <si>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</si>
  <si>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</si>
  <si>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</si>
  <si>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</si>
  <si>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</si>
  <si>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</si>
  <si>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</si>
  <si>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</si>
  <si>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</si>
  <si>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</si>
  <si>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</si>
  <si>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</si>
  <si>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</si>
  <si>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</si>
  <si>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</si>
  <si>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</si>
  <si>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</si>
  <si>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</si>
  <si>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</si>
  <si>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</si>
  <si>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</si>
  <si>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</si>
  <si>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</si>
  <si>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</si>
  <si>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</si>
  <si>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</si>
  <si>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</si>
  <si>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</si>
  <si>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</si>
  <si>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</si>
  <si>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</si>
  <si>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</si>
  <si>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</si>
  <si>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</si>
  <si>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</si>
  <si>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</si>
  <si>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</si>
  <si>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</si>
  <si>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</si>
  <si>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</si>
  <si>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</si>
  <si>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</si>
  <si>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</si>
  <si>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</si>
  <si>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</si>
  <si>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</si>
  <si>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</si>
  <si>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</si>
  <si>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</si>
  <si>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</si>
  <si>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</si>
  <si>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</si>
  <si>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</si>
  <si>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</si>
  <si>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</si>
  <si>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</si>
  <si>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</si>
  <si>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</si>
  <si>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</si>
  <si>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</si>
  <si>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</si>
  <si>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</si>
  <si>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</si>
  <si>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</si>
  <si>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</si>
  <si>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</si>
  <si>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</si>
  <si>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</si>
  <si>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</si>
  <si>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</si>
  <si>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</si>
  <si>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</si>
  <si>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</si>
  <si>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</si>
  <si>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</si>
  <si>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</si>
  <si>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</si>
  <si>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</si>
  <si>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</si>
  <si>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</si>
  <si>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</si>
  <si>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</si>
  <si>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</si>
  <si>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</si>
  <si>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</si>
  <si>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</si>
  <si>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</si>
  <si>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</si>
  <si>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</si>
  <si>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</si>
  <si>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</si>
  <si>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</si>
  <si>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</si>
  <si>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</si>
  <si>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</si>
  <si>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</si>
  <si>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</si>
  <si>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</si>
  <si>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</si>
  <si>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</si>
  <si>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</si>
  <si>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</si>
  <si>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</si>
  <si>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</si>
  <si>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</si>
  <si>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</si>
  <si>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</si>
  <si>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</si>
  <si>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</si>
  <si>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</si>
  <si>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</si>
  <si>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</si>
  <si>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</si>
  <si>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</si>
  <si>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</si>
  <si>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</si>
  <si>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</si>
  <si>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</si>
  <si>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</si>
  <si>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</si>
  <si>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</si>
  <si>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</si>
  <si>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</si>
  <si>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</si>
  <si>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</si>
  <si>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</si>
  <si>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</si>
  <si>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</si>
  <si>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</si>
  <si>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</si>
  <si>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</si>
  <si>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</si>
  <si>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</si>
  <si>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</si>
  <si>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</si>
  <si>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</si>
  <si>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</si>
  <si>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</si>
  <si>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</si>
  <si>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</si>
  <si>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</si>
  <si>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</si>
  <si>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</si>
  <si>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</si>
  <si>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</si>
  <si>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</si>
  <si>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</si>
  <si>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</si>
  <si>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</si>
  <si>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</si>
  <si>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</si>
  <si>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</si>
  <si>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</si>
  <si>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</si>
  <si>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</si>
  <si>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</si>
  <si>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</si>
  <si>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</si>
  <si>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</si>
  <si>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</si>
  <si>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</si>
  <si>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</si>
  <si>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</si>
  <si>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</si>
  <si>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</si>
  <si>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</si>
  <si>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</si>
  <si>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</si>
  <si>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</si>
  <si>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</si>
  <si>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</si>
  <si>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</si>
  <si>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</si>
  <si>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</si>
  <si>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</si>
  <si>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</si>
  <si>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</si>
  <si>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</si>
  <si>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</si>
  <si>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</si>
  <si>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</si>
  <si>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</si>
  <si>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</si>
  <si>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</si>
  <si>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</si>
  <si>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</si>
  <si>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</si>
  <si>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</si>
  <si>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</si>
  <si>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</si>
  <si>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</si>
  <si>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</si>
  <si>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</si>
  <si>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</si>
  <si>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</si>
  <si>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</si>
  <si>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</si>
  <si>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</si>
  <si>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</si>
  <si>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</si>
  <si>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</si>
  <si>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</si>
  <si>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</si>
  <si>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</si>
  <si>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</si>
  <si>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</si>
  <si>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</si>
  <si>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</si>
  <si>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</si>
  <si>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</si>
  <si>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</si>
  <si>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</si>
  <si>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</si>
  <si>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</si>
  <si>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</si>
  <si>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</si>
  <si>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</si>
  <si>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</si>
  <si>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</si>
  <si>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</si>
  <si>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</si>
  <si>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</si>
  <si>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</si>
  <si>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</si>
  <si>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</si>
  <si>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</si>
  <si>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</si>
  <si>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</si>
  <si>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</si>
  <si>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</si>
  <si>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</si>
  <si>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</si>
  <si>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</si>
  <si>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</si>
  <si>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</si>
  <si>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</si>
  <si>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</si>
  <si>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</si>
  <si>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</si>
  <si>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</si>
  <si>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</si>
  <si>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</si>
  <si>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</si>
  <si>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</si>
  <si>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</si>
  <si>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</si>
  <si>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</si>
  <si>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</si>
  <si>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</si>
  <si>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</si>
  <si>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</si>
  <si>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</si>
  <si>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</si>
  <si>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</si>
  <si>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</si>
  <si>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</si>
  <si>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</si>
  <si>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</si>
  <si>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</si>
  <si>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</si>
  <si>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</si>
  <si>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</si>
  <si>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</si>
  <si>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</si>
  <si>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</si>
  <si>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</si>
  <si>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</si>
  <si>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</si>
  <si>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</si>
  <si>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</si>
  <si>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</si>
  <si>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</si>
  <si>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</si>
  <si>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</si>
  <si>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</si>
  <si>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</si>
  <si>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</si>
  <si>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</si>
  <si>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</si>
  <si>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</si>
  <si>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</si>
  <si>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</si>
  <si>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</si>
  <si>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</si>
  <si>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</si>
  <si>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</si>
  <si>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</si>
  <si>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</si>
  <si>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</si>
  <si>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</si>
  <si>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</si>
  <si>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</si>
  <si>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</si>
  <si>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</si>
  <si>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</si>
  <si>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</si>
  <si>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</si>
  <si>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</si>
  <si>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</si>
  <si>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</si>
  <si>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</si>
  <si>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</si>
  <si>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</si>
  <si>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</si>
  <si>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</si>
  <si>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</si>
  <si>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</si>
  <si>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</si>
  <si>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</si>
  <si>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</si>
  <si>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</si>
  <si>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</si>
  <si>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</si>
  <si>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</si>
  <si>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</si>
  <si>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</si>
  <si>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</si>
  <si>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</si>
  <si>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</si>
  <si>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</si>
  <si>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</si>
  <si>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</si>
  <si>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</si>
  <si>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</si>
  <si>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</si>
  <si>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</si>
  <si>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</si>
  <si>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</si>
  <si>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</si>
  <si>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</si>
  <si>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</si>
  <si>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</si>
  <si>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</si>
  <si>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</si>
  <si>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</si>
  <si>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</si>
  <si>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</si>
  <si>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</si>
  <si>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</si>
  <si>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</si>
  <si>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</si>
  <si>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</si>
  <si>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</si>
  <si>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</si>
  <si>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</si>
  <si>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</si>
  <si>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</si>
  <si>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</si>
  <si>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</si>
  <si>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</si>
  <si>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</si>
  <si>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</si>
  <si>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</si>
  <si>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</si>
  <si>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</si>
  <si>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</si>
  <si>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</si>
  <si>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</si>
  <si>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</si>
  <si>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</si>
  <si>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</si>
  <si>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</si>
  <si>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</si>
  <si>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</si>
  <si>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</si>
  <si>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</si>
  <si>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</si>
  <si>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</si>
  <si>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</si>
  <si>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</si>
  <si>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</si>
  <si>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</si>
  <si>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</si>
  <si>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</si>
  <si>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</si>
  <si>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</si>
  <si>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</si>
  <si>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</si>
  <si>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</si>
  <si>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</si>
  <si>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</si>
  <si>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</si>
  <si>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</si>
  <si>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</si>
  <si>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</si>
  <si>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</si>
  <si>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</si>
  <si>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</si>
  <si>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</si>
  <si>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</si>
  <si>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</si>
  <si>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</si>
  <si>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</si>
  <si>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</si>
  <si>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</si>
  <si>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</si>
  <si>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</si>
  <si>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</si>
  <si>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</si>
  <si>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</si>
  <si>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</si>
  <si>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</si>
  <si>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</si>
  <si>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</si>
  <si>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</si>
  <si>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</si>
  <si>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</si>
  <si>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</si>
  <si>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</si>
  <si>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</si>
  <si>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</si>
  <si>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</si>
  <si>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</si>
  <si>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</si>
  <si>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</si>
  <si>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</si>
  <si>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</si>
  <si>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</si>
  <si>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</si>
  <si>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</si>
  <si>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</si>
  <si>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</si>
  <si>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</si>
  <si>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</si>
  <si>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</si>
  <si>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</si>
  <si>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</si>
  <si>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</si>
  <si>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</si>
  <si>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</si>
  <si>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</si>
  <si>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</si>
  <si>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</si>
  <si>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</si>
  <si>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</si>
  <si>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</si>
  <si>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</si>
  <si>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</si>
  <si>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</si>
  <si>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</si>
  <si>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</si>
  <si>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</si>
  <si>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</si>
  <si>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</si>
  <si>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</si>
  <si>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</si>
  <si>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</si>
  <si>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</si>
  <si>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</si>
  <si>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</si>
  <si>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</si>
  <si>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</si>
  <si>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</si>
  <si>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</si>
  <si>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</si>
  <si>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</si>
  <si>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</si>
  <si>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</si>
  <si>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</si>
  <si>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</si>
  <si>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</si>
  <si>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</si>
  <si>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</si>
  <si>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</si>
  <si>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</si>
  <si>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</si>
  <si>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</si>
  <si>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</si>
  <si>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</si>
  <si>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</si>
  <si>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</si>
  <si>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</si>
  <si>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</si>
  <si>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</si>
  <si>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</si>
  <si>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</si>
  <si>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</si>
  <si>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</si>
  <si>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</si>
  <si>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</si>
  <si>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</si>
  <si>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</si>
  <si>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</si>
  <si>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</si>
  <si>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</si>
  <si>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</si>
  <si>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</si>
  <si>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</si>
  <si>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</si>
  <si>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</si>
  <si>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</si>
  <si>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</si>
  <si>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</si>
  <si>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</si>
  <si>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</si>
  <si>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</si>
  <si>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</si>
  <si>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</si>
  <si>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</si>
  <si>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</si>
  <si>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</si>
  <si>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</si>
  <si>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</si>
  <si>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</si>
  <si>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</si>
  <si>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</si>
  <si>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</si>
  <si>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</si>
  <si>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</si>
  <si>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</si>
  <si>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</si>
  <si>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</si>
  <si>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</si>
  <si>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</si>
  <si>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</si>
  <si>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</si>
  <si>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</si>
  <si>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</si>
  <si>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</si>
  <si>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</si>
  <si>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</si>
  <si>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</si>
  <si>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</si>
  <si>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</si>
  <si>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</si>
  <si>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</si>
  <si>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</si>
  <si>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</si>
  <si>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</si>
  <si>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</si>
  <si>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</si>
  <si>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</si>
  <si>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</si>
  <si>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</si>
  <si>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</si>
  <si>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</si>
  <si>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</si>
  <si>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</si>
  <si>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</si>
  <si>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</si>
  <si>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</si>
  <si>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</si>
  <si>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</si>
  <si>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</si>
  <si>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</si>
  <si>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</si>
  <si>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</si>
  <si>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</si>
  <si>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</si>
  <si>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</si>
  <si>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</si>
  <si>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</si>
  <si>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</si>
  <si>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</si>
  <si>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</si>
  <si>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</si>
  <si>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</si>
  <si>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</si>
  <si>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</si>
  <si>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</si>
  <si>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</si>
  <si>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</si>
  <si>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</si>
  <si>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</si>
  <si>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</si>
  <si>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</si>
  <si>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</si>
  <si>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</si>
  <si>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</si>
  <si>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</si>
  <si>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</si>
  <si>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</si>
  <si>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</si>
  <si>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</si>
  <si>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</si>
  <si>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</si>
  <si>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</si>
  <si>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</si>
  <si>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</si>
  <si>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</si>
  <si>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</si>
  <si>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</si>
  <si>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</si>
  <si>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</si>
  <si>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</si>
  <si>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</si>
  <si>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</si>
  <si>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</si>
  <si>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</si>
  <si>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</si>
  <si>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</si>
  <si>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</si>
  <si>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</si>
  <si>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</si>
  <si>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</si>
  <si>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</si>
  <si>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</si>
  <si>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</si>
  <si>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</si>
  <si>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</si>
  <si>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</si>
  <si>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</si>
  <si>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</si>
  <si>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</si>
  <si>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</si>
  <si>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</si>
  <si>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</si>
  <si>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</si>
  <si>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</si>
  <si>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</si>
  <si>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</si>
  <si>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</si>
  <si>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</si>
  <si>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</si>
  <si>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</si>
  <si>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</si>
  <si>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</si>
  <si>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</si>
  <si>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</si>
  <si>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</si>
  <si>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</si>
  <si>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</si>
  <si>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</si>
  <si>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</si>
  <si>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</si>
  <si>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</si>
  <si>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</si>
  <si>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</si>
  <si>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</si>
  <si>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</si>
  <si>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</si>
  <si>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</si>
  <si>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</si>
  <si>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</si>
  <si>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</si>
  <si>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</si>
  <si>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</si>
  <si>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</si>
  <si>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</si>
  <si>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</si>
  <si>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</si>
  <si>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</si>
  <si>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</si>
  <si>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</si>
  <si>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</si>
  <si>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</si>
  <si>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</si>
  <si>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</si>
  <si>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</si>
  <si>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</si>
  <si>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</si>
  <si>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</si>
  <si>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</si>
  <si>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</si>
  <si>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</si>
  <si>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</si>
  <si>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</si>
  <si>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</si>
  <si>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</si>
  <si>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</si>
  <si>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</si>
  <si>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</si>
  <si>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</si>
  <si>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</si>
  <si>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</si>
  <si>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</si>
  <si>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</si>
  <si>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</si>
  <si>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</si>
  <si>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</si>
  <si>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</si>
  <si>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</si>
  <si>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</si>
  <si>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</si>
  <si>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</si>
  <si>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</si>
  <si>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</si>
  <si>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</si>
  <si>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</si>
  <si>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</si>
  <si>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</si>
  <si>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</si>
  <si>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</si>
  <si>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</si>
  <si>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</si>
  <si>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</si>
  <si>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</si>
  <si>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</si>
  <si>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</si>
  <si>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</si>
  <si>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</si>
  <si>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</si>
  <si>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</si>
  <si>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</si>
  <si>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</si>
  <si>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</si>
  <si>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</si>
  <si>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</si>
  <si>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</si>
  <si>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</si>
  <si>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</si>
  <si>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</si>
  <si>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</si>
  <si>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</si>
  <si>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</si>
  <si>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</si>
  <si>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</si>
  <si>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</si>
  <si>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</si>
  <si>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</si>
  <si>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</si>
  <si>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</si>
  <si>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</si>
  <si>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</si>
  <si>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</si>
  <si>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2.3.1.2.3.1.1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</si>
  <si>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</si>
  <si>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</si>
  <si>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</si>
  <si>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</si>
  <si>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</si>
  <si>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</si>
  <si>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</si>
  <si>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</si>
  <si>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</si>
  <si>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</si>
  <si>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제품소개</t>
  </si>
  <si>
    <t>디퓨저 설정</t>
  </si>
  <si>
    <t>문의사항</t>
  </si>
  <si>
    <t>디퓨저 판매</t>
  </si>
  <si>
    <t>장바구니</t>
  </si>
  <si>
    <t>검색</t>
  </si>
  <si>
    <t>2.3.1.2.3.1.2</t>
  </si>
  <si>
    <t>2.3.1.2.3.1.3</t>
  </si>
  <si>
    <t>2.3.1.2.3.1.4</t>
  </si>
  <si>
    <t>2.3.1.2.3.1.5</t>
  </si>
  <si>
    <t>2.3.1.2.3.1.6</t>
  </si>
  <si>
    <t>2.3.1.2.3.1.7</t>
  </si>
  <si>
    <t>2.3.1.2.3.1.8</t>
  </si>
  <si>
    <t>2.3.1.2.3.1.9</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</si>
  <si>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</si>
  <si>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</si>
  <si>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</si>
  <si>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</si>
  <si>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</si>
  <si>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</si>
  <si>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</si>
  <si>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</si>
  <si>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</si>
  <si>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</si>
  <si>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</si>
  <si>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</si>
  <si>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</si>
  <si>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</si>
  <si>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</si>
  <si>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</si>
  <si>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</si>
  <si>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</si>
  <si>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</si>
  <si>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</si>
  <si>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2.3.1.2.3.1.10</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</si>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</sst>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34">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33"/>
      <tableStyleElement type="headerRow" dxfId="32"/>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17"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7.44140625" style="31" customWidth="1"/>
    <col min="13" max="13" width="8.44140625" style="32" customWidth="1"/>
    <col min="14" max="14" width="8.33203125" style="32" customWidth="1"/>
    <col min="15" max="15" width="6.109375" style="31" hidden="1" customWidth="1"/>
    <col min="16" max="16" width="8.77734375" style="33" customWidth="1"/>
    <col min="17" max="17" width="4.5546875" style="33" customWidth="1"/>
    <col min="18" max="18" width="5.554687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[계획:64.72% 실적:0.00%]</v>
      </c>
      <c r="AC1" s="212" t="s">
        <v>1169</v>
      </c>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c r="BE1" s="212"/>
      <c r="BF1" s="212"/>
      <c r="BG1" s="212"/>
      <c r="BH1" s="212"/>
      <c r="BI1" s="212"/>
      <c r="BJ1" s="212"/>
      <c r="BK1" s="212"/>
      <c r="BL1" s="212"/>
      <c r="BM1" s="212"/>
      <c r="BN1" s="212"/>
      <c r="BO1" s="212"/>
      <c r="BP1" s="212"/>
      <c r="BQ1" s="212"/>
      <c r="BR1" s="212"/>
      <c r="BS1" s="212"/>
      <c r="BT1" s="212"/>
      <c r="BU1" s="212"/>
      <c r="BV1" s="212"/>
      <c r="BW1" s="212"/>
      <c r="BX1" s="212"/>
      <c r="BY1" s="212"/>
      <c r="BZ1" s="212"/>
      <c r="CA1" s="212"/>
    </row>
    <row r="2" spans="1:246" s="204" customFormat="1" ht="15" customHeight="1">
      <c r="A2" s="185"/>
      <c r="B2" s="185"/>
      <c r="C2" s="186"/>
      <c r="D2" s="227"/>
      <c r="E2" s="227"/>
      <c r="F2" s="227"/>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15" t="s">
        <v>1076</v>
      </c>
      <c r="B3" s="216" t="s">
        <v>1077</v>
      </c>
      <c r="C3" s="217" t="s">
        <v>1050</v>
      </c>
      <c r="D3" s="218" t="s">
        <v>1066</v>
      </c>
      <c r="E3" s="219" t="s">
        <v>1071</v>
      </c>
      <c r="F3" s="220"/>
      <c r="G3" s="220"/>
      <c r="H3" s="220"/>
      <c r="I3" s="220"/>
      <c r="J3" s="220"/>
      <c r="K3" s="220"/>
      <c r="L3" s="231" t="s">
        <v>1067</v>
      </c>
      <c r="M3" s="231" t="s">
        <v>1073</v>
      </c>
      <c r="N3" s="231" t="s">
        <v>1072</v>
      </c>
      <c r="O3" s="216" t="s">
        <v>995</v>
      </c>
      <c r="P3" s="229" t="s">
        <v>1068</v>
      </c>
      <c r="Q3" s="229" t="s">
        <v>1070</v>
      </c>
      <c r="R3" s="229" t="s">
        <v>1043</v>
      </c>
      <c r="S3" s="229" t="s">
        <v>1051</v>
      </c>
      <c r="T3" s="230" t="s">
        <v>1078</v>
      </c>
      <c r="U3" s="230" t="s">
        <v>1031</v>
      </c>
      <c r="V3" s="232" t="s">
        <v>1079</v>
      </c>
      <c r="W3" s="228" t="s">
        <v>1065</v>
      </c>
      <c r="X3" s="225" t="s">
        <v>1052</v>
      </c>
      <c r="Y3" s="216" t="s">
        <v>1074</v>
      </c>
      <c r="Z3" s="216" t="s">
        <v>1080</v>
      </c>
      <c r="AA3" s="221" t="s">
        <v>873</v>
      </c>
      <c r="AB3" s="223" t="s">
        <v>1032</v>
      </c>
      <c r="AC3" s="226">
        <v>43415</v>
      </c>
      <c r="AD3" s="213"/>
      <c r="AE3" s="213"/>
      <c r="AF3" s="213"/>
      <c r="AG3" s="213"/>
      <c r="AH3" s="213"/>
      <c r="AI3" s="213"/>
      <c r="AJ3" s="213">
        <v>43422</v>
      </c>
      <c r="AK3" s="213"/>
      <c r="AL3" s="213"/>
      <c r="AM3" s="213"/>
      <c r="AN3" s="213"/>
      <c r="AO3" s="213"/>
      <c r="AP3" s="213"/>
      <c r="AQ3" s="213">
        <v>43429</v>
      </c>
      <c r="AR3" s="213"/>
      <c r="AS3" s="213"/>
      <c r="AT3" s="213"/>
      <c r="AU3" s="213"/>
      <c r="AV3" s="213"/>
      <c r="AW3" s="213"/>
      <c r="AX3" s="213">
        <v>43436</v>
      </c>
      <c r="AY3" s="213"/>
      <c r="AZ3" s="213"/>
      <c r="BA3" s="213"/>
      <c r="BB3" s="213"/>
      <c r="BC3" s="213"/>
      <c r="BD3" s="213"/>
      <c r="BE3" s="213">
        <v>43443</v>
      </c>
      <c r="BF3" s="213"/>
      <c r="BG3" s="213"/>
      <c r="BH3" s="213"/>
      <c r="BI3" s="213"/>
      <c r="BJ3" s="213"/>
      <c r="BK3" s="213"/>
      <c r="BL3" s="213">
        <v>43450</v>
      </c>
      <c r="BM3" s="213"/>
      <c r="BN3" s="213"/>
      <c r="BO3" s="213"/>
      <c r="BP3" s="213"/>
      <c r="BQ3" s="213"/>
      <c r="BR3" s="213"/>
      <c r="BS3" s="213">
        <v>43457</v>
      </c>
      <c r="BT3" s="213"/>
      <c r="BU3" s="213"/>
      <c r="BV3" s="213"/>
      <c r="BW3" s="213"/>
      <c r="BX3" s="213"/>
      <c r="BY3" s="213"/>
      <c r="BZ3" s="213">
        <v>43464</v>
      </c>
      <c r="CA3" s="213"/>
      <c r="CB3" s="213"/>
      <c r="CC3" s="213"/>
      <c r="CD3" s="213"/>
      <c r="CE3" s="213"/>
      <c r="CF3" s="213"/>
      <c r="CG3" s="213">
        <v>43471</v>
      </c>
      <c r="CH3" s="213"/>
      <c r="CI3" s="213"/>
      <c r="CJ3" s="213"/>
      <c r="CK3" s="213"/>
      <c r="CL3" s="213"/>
      <c r="CM3" s="213"/>
      <c r="CN3" s="213">
        <v>43478</v>
      </c>
      <c r="CO3" s="213"/>
      <c r="CP3" s="213"/>
      <c r="CQ3" s="213"/>
      <c r="CR3" s="213"/>
      <c r="CS3" s="213"/>
      <c r="CT3" s="213"/>
      <c r="CU3" s="213">
        <v>43485</v>
      </c>
      <c r="CV3" s="213"/>
      <c r="CW3" s="213"/>
      <c r="CX3" s="213"/>
      <c r="CY3" s="213"/>
      <c r="CZ3" s="213"/>
      <c r="DA3" s="213"/>
      <c r="DB3" s="213">
        <v>43492</v>
      </c>
      <c r="DC3" s="213"/>
      <c r="DD3" s="213"/>
      <c r="DE3" s="213"/>
      <c r="DF3" s="213"/>
      <c r="DG3" s="213"/>
      <c r="DH3" s="213"/>
      <c r="DI3" s="213">
        <v>43499</v>
      </c>
      <c r="DJ3" s="213"/>
      <c r="DK3" s="213"/>
      <c r="DL3" s="213"/>
      <c r="DM3" s="213"/>
      <c r="DN3" s="213"/>
      <c r="DO3" s="213"/>
      <c r="DP3" s="213">
        <v>43506</v>
      </c>
      <c r="DQ3" s="213"/>
      <c r="DR3" s="213"/>
      <c r="DS3" s="213"/>
      <c r="DT3" s="213"/>
      <c r="DU3" s="213"/>
      <c r="DV3" s="213"/>
      <c r="DW3" s="213">
        <v>43513</v>
      </c>
      <c r="DX3" s="213"/>
      <c r="DY3" s="213"/>
      <c r="DZ3" s="213"/>
      <c r="EA3" s="213"/>
      <c r="EB3" s="213"/>
      <c r="EC3" s="213"/>
      <c r="ED3" s="213">
        <v>43520</v>
      </c>
      <c r="EE3" s="213"/>
      <c r="EF3" s="213"/>
      <c r="EG3" s="213"/>
      <c r="EH3" s="213"/>
      <c r="EI3" s="213"/>
      <c r="EJ3" s="213"/>
      <c r="EK3" s="213">
        <v>43527</v>
      </c>
      <c r="EL3" s="213"/>
      <c r="EM3" s="213"/>
      <c r="EN3" s="213"/>
      <c r="EO3" s="213"/>
      <c r="EP3" s="213"/>
      <c r="EQ3" s="213"/>
      <c r="ER3" s="213">
        <v>43534</v>
      </c>
      <c r="ES3" s="213"/>
      <c r="ET3" s="213"/>
      <c r="EU3" s="213"/>
      <c r="EV3" s="213"/>
      <c r="EW3" s="213"/>
      <c r="EX3" s="213"/>
      <c r="EY3" s="213">
        <v>43541</v>
      </c>
      <c r="EZ3" s="213"/>
      <c r="FA3" s="213"/>
      <c r="FB3" s="213"/>
      <c r="FC3" s="213"/>
      <c r="FD3" s="213"/>
      <c r="FE3" s="213"/>
      <c r="FF3" s="213">
        <v>43548</v>
      </c>
      <c r="FG3" s="213"/>
      <c r="FH3" s="213"/>
      <c r="FI3" s="213"/>
      <c r="FJ3" s="213"/>
      <c r="FK3" s="213"/>
      <c r="FL3" s="213"/>
      <c r="FM3" s="213">
        <v>43555</v>
      </c>
      <c r="FN3" s="213"/>
      <c r="FO3" s="213"/>
      <c r="FP3" s="213"/>
      <c r="FQ3" s="213"/>
      <c r="FR3" s="213"/>
      <c r="FS3" s="213"/>
      <c r="FT3" s="213">
        <v>43562</v>
      </c>
      <c r="FU3" s="213"/>
      <c r="FV3" s="213"/>
      <c r="FW3" s="213"/>
      <c r="FX3" s="213"/>
      <c r="FY3" s="213"/>
      <c r="FZ3" s="213"/>
      <c r="GA3" s="213">
        <v>43569</v>
      </c>
      <c r="GB3" s="213"/>
      <c r="GC3" s="213"/>
      <c r="GD3" s="213"/>
      <c r="GE3" s="213"/>
      <c r="GF3" s="213"/>
      <c r="GG3" s="213"/>
      <c r="GH3" s="213">
        <v>43576</v>
      </c>
      <c r="GI3" s="213"/>
      <c r="GJ3" s="213"/>
      <c r="GK3" s="213"/>
      <c r="GL3" s="213"/>
      <c r="GM3" s="213"/>
      <c r="GN3" s="213"/>
      <c r="GO3" s="213">
        <v>43583</v>
      </c>
      <c r="GP3" s="213"/>
      <c r="GQ3" s="213"/>
      <c r="GR3" s="213"/>
      <c r="GS3" s="213"/>
      <c r="GT3" s="213"/>
      <c r="GU3" s="213"/>
      <c r="GV3" s="213">
        <v>43590</v>
      </c>
      <c r="GW3" s="213"/>
      <c r="GX3" s="213"/>
      <c r="GY3" s="213"/>
      <c r="GZ3" s="213"/>
      <c r="HA3" s="213"/>
      <c r="HB3" s="213"/>
      <c r="HC3" s="213">
        <v>43597</v>
      </c>
      <c r="HD3" s="213"/>
      <c r="HE3" s="213"/>
      <c r="HF3" s="213"/>
      <c r="HG3" s="213"/>
      <c r="HH3" s="213"/>
      <c r="HI3" s="213"/>
      <c r="HJ3" s="213">
        <v>43604</v>
      </c>
      <c r="HK3" s="213"/>
      <c r="HL3" s="213"/>
      <c r="HM3" s="213"/>
      <c r="HN3" s="213"/>
      <c r="HO3" s="213"/>
      <c r="HP3" s="213"/>
      <c r="HQ3" s="213">
        <v>43611</v>
      </c>
      <c r="HR3" s="213"/>
      <c r="HS3" s="213"/>
      <c r="HT3" s="213"/>
      <c r="HU3" s="213"/>
      <c r="HV3" s="213"/>
      <c r="HW3" s="213"/>
      <c r="HX3" s="213">
        <v>43618</v>
      </c>
      <c r="HY3" s="213"/>
      <c r="HZ3" s="213"/>
      <c r="IA3" s="213"/>
      <c r="IB3" s="213"/>
      <c r="IC3" s="213"/>
      <c r="ID3" s="213"/>
      <c r="IE3" s="213">
        <v>43625</v>
      </c>
      <c r="IF3" s="213"/>
      <c r="IG3" s="213"/>
      <c r="IH3" s="213"/>
      <c r="II3" s="213"/>
      <c r="IJ3" s="213"/>
      <c r="IK3" s="214"/>
    </row>
    <row r="4" spans="1:246" s="134" customFormat="1" ht="5.0999999999999996" customHeight="1">
      <c r="A4" s="215"/>
      <c r="B4" s="216"/>
      <c r="C4" s="217"/>
      <c r="D4" s="218"/>
      <c r="E4" s="219"/>
      <c r="F4" s="220"/>
      <c r="G4" s="220"/>
      <c r="H4" s="220"/>
      <c r="I4" s="220"/>
      <c r="J4" s="220"/>
      <c r="K4" s="220"/>
      <c r="L4" s="231"/>
      <c r="M4" s="231"/>
      <c r="N4" s="231"/>
      <c r="O4" s="216"/>
      <c r="P4" s="229"/>
      <c r="Q4" s="229"/>
      <c r="R4" s="229"/>
      <c r="S4" s="229"/>
      <c r="T4" s="231"/>
      <c r="U4" s="231"/>
      <c r="V4" s="232"/>
      <c r="W4" s="228"/>
      <c r="X4" s="225"/>
      <c r="Y4" s="216"/>
      <c r="Z4" s="216"/>
      <c r="AA4" s="222"/>
      <c r="AB4" s="224"/>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1162</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1163</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1104</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1152</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1104</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1150</v>
      </c>
      <c r="E25" s="148"/>
      <c r="F25" s="148"/>
      <c r="G25" s="183" t="s">
        <v>1151</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1104</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1157</v>
      </c>
      <c r="E28" s="148"/>
      <c r="F28" s="148"/>
      <c r="G28" s="148"/>
      <c r="H28" s="184" t="s">
        <v>1155</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1153</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1158</v>
      </c>
      <c r="E29" s="148"/>
      <c r="F29" s="148"/>
      <c r="G29" s="148"/>
      <c r="H29" s="184" t="s">
        <v>1156</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1104</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1159</v>
      </c>
      <c r="E30" s="148"/>
      <c r="F30" s="148"/>
      <c r="G30" s="184"/>
      <c r="H30" s="183" t="s">
        <v>1154</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1153</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1173</v>
      </c>
      <c r="E31" s="148"/>
      <c r="F31" s="148"/>
      <c r="G31" s="184"/>
      <c r="H31" s="183" t="s">
        <v>1168</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1153</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f ca="1">IF(M37="","0",(N37-M37+1)-COUNTIFS(INDIRECT(getCalendarRange(O37)),"&gt;=" &amp; M37,INDIRECT(getCalendarRange(O37)),"&lt;=" &amp; N37))</f>
        <v>84</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1104</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f ca="1">IF(M39="","0",(N39-M39+1)-COUNTIFS(INDIRECT(getCalendarRange(O39)),"&gt;=" &amp; M39,INDIRECT(getCalendarRange(O39)),"&lt;=" &amp; N39))</f>
        <v>84</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1174</v>
      </c>
      <c r="J40" s="148"/>
      <c r="K40" s="148"/>
      <c r="L40" s="148"/>
      <c r="M40" s="126">
        <v>43497</v>
      </c>
      <c r="N40" s="126">
        <v>43579</v>
      </c>
      <c r="O40" s="148"/>
      <c r="P40" s="149">
        <v>147</v>
      </c>
      <c r="Q40" s="149">
        <v>103</v>
      </c>
      <c r="R40" s="150">
        <f ca="1">IF(M40="","0",(N40-M40+1)-COUNTIFS(INDIRECT(getCalendarRange(O40)),"&gt;=" &amp; M40,INDIRECT(getCalendarRange(O40)),"&lt;=" &amp; N40))</f>
        <v>83</v>
      </c>
      <c r="S40" s="150">
        <f ca="1">IF(M40&gt;TODAY(),0,IF(N40&lt;TODAY(),R40,(TODAY()-M40+1)-COUNTIFS(INDIRECT(getCalendarRange(O40)),"&gt;=" &amp; M40,INDIRECT(getCalendarRange(O40)),"&lt;=" &amp; TODAY())))</f>
        <v>40</v>
      </c>
      <c r="T40" s="126"/>
      <c r="U40" s="126"/>
      <c r="V40" s="151">
        <v>0</v>
      </c>
      <c r="W40" s="152" t="str">
        <f ca="1">IF(U40="","0",IF(T40="","0",(U40-T40+1)-COUNTIFS(INDIRECT(getCalendarRange(O40)),"&gt;=" &amp; T40,INDIRECT(getCalendarRange(O40)),"&lt;=" &amp; U40)))</f>
        <v>0</v>
      </c>
      <c r="X40" s="153"/>
      <c r="Y40" s="183" t="s">
        <v>1185</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1105</v>
      </c>
      <c r="K41" s="148"/>
      <c r="L41" s="148"/>
      <c r="M41" s="126">
        <v>43497</v>
      </c>
      <c r="N41" s="126">
        <v>43516</v>
      </c>
      <c r="O41" s="148"/>
      <c r="P41" s="149">
        <v>20</v>
      </c>
      <c r="Q41" s="149">
        <v>20</v>
      </c>
      <c r="R41" s="150">
        <f ca="1">IF(M41="","0",(N41-M41+1)-COUNTIFS(INDIRECT(getCalendarRange(O41)),"&gt;=" &amp; M41,INDIRECT(getCalendarRange(O41)),"&lt;=" &amp; N41))</f>
        <v>20</v>
      </c>
      <c r="S41" s="150">
        <f ca="1">IF(M41&gt;TODAY(),0,IF(N41&lt;TODAY(),R41,(TODAY()-M41+1)-COUNTIFS(INDIRECT(getCalendarRange(O41)),"&gt;=" &amp; M41,INDIRECT(getCalendarRange(O41)),"&lt;=" &amp; TODAY())))</f>
        <v>20</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1106</v>
      </c>
      <c r="K42" s="148"/>
      <c r="L42" s="148"/>
      <c r="M42" s="126">
        <v>43504</v>
      </c>
      <c r="N42" s="126">
        <v>43518</v>
      </c>
      <c r="O42" s="148"/>
      <c r="P42" s="149">
        <v>15</v>
      </c>
      <c r="Q42" s="149">
        <v>15</v>
      </c>
      <c r="R42" s="150">
        <f ca="1">IF(M42="","0",(N42-M42+1)-COUNTIFS(INDIRECT(getCalendarRange(O42)),"&gt;=" &amp; M42,INDIRECT(getCalendarRange(O42)),"&lt;=" &amp; N42))</f>
        <v>15</v>
      </c>
      <c r="S42" s="150">
        <f ca="1">IF(M42&gt;TODAY(),0,IF(N42&lt;TODAY(),R42,(TODAY()-M42+1)-COUNTIFS(INDIRECT(getCalendarRange(O42)),"&gt;=" &amp; M42,INDIRECT(getCalendarRange(O42)),"&lt;=" &amp; TODAY())))</f>
        <v>15</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f ca="1">IF(M43="","0",(N43-M43+1)-COUNTIFS(INDIRECT(getCalendarRange(O43)),"&gt;=" &amp; M43,INDIRECT(getCalendarRange(O43)),"&lt;=" &amp; N43))</f>
        <v>44</v>
      </c>
      <c r="S43" s="150">
        <f ca="1">IF(M43&gt;TODAY(),0,IF(N43&lt;TODAY(),R43,(TODAY()-M43+1)-COUNTIFS(INDIRECT(getCalendarRange(O43)),"&gt;=" &amp; M43,INDIRECT(getCalendarRange(O43)),"&lt;=" &amp; TODAY())))</f>
        <v>32</v>
      </c>
      <c r="T43" s="126"/>
      <c r="U43" s="126"/>
      <c r="V43" s="151"/>
      <c r="W43" s="152" t="str">
        <f ca="1">IF(U43="","0",IF(T43="","0",(U43-T43+1)-COUNTIFS(INDIRECT(getCalendarRange(O43)),"&gt;=" &amp; T43,INDIRECT(getCalendarRange(O43)),"&lt;=" &amp; U43)))</f>
        <v>0</v>
      </c>
      <c r="X43" s="153">
        <v>1</v>
      </c>
      <c r="Y43" s="183" t="s">
        <v>1176</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1107</v>
      </c>
      <c r="K44" s="148"/>
      <c r="L44" s="148"/>
      <c r="M44" s="126">
        <v>43506</v>
      </c>
      <c r="N44" s="126">
        <v>43520</v>
      </c>
      <c r="O44" s="148"/>
      <c r="P44" s="149">
        <v>15</v>
      </c>
      <c r="Q44" s="149">
        <v>15</v>
      </c>
      <c r="R44" s="150">
        <f ca="1">IF(M44="","0",(N44-M44+1)-COUNTIFS(INDIRECT(getCalendarRange(O44)),"&gt;=" &amp; M44,INDIRECT(getCalendarRange(O44)),"&lt;=" &amp; N44))</f>
        <v>15</v>
      </c>
      <c r="S44" s="150">
        <f ca="1">IF(M44&gt;TODAY(),0,IF(N44&lt;TODAY(),R44,(TODAY()-M44+1)-COUNTIFS(INDIRECT(getCalendarRange(O44)),"&gt;=" &amp; M44,INDIRECT(getCalendarRange(O44)),"&lt;=" &amp; TODAY())))</f>
        <v>15</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f ca="1">IF(M45="","0",(N45-M45+1)-COUNTIFS(INDIRECT(getCalendarRange(O45)),"&gt;=" &amp; M45,INDIRECT(getCalendarRange(O45)),"&lt;=" &amp; N45))</f>
        <v>21</v>
      </c>
      <c r="S45" s="150">
        <f ca="1">IF(M45&gt;TODAY(),0,IF(N45&lt;TODAY(),R45,(TODAY()-M45+1)-COUNTIFS(INDIRECT(getCalendarRange(O45)),"&gt;=" &amp; M45,INDIRECT(getCalendarRange(O45)),"&lt;=" &amp; TODAY())))</f>
        <v>21</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1143</v>
      </c>
      <c r="E46" s="148"/>
      <c r="F46" s="148"/>
      <c r="G46" s="148"/>
      <c r="H46" s="148"/>
      <c r="I46" s="148"/>
      <c r="J46" s="183" t="s">
        <v>1142</v>
      </c>
      <c r="K46" s="148"/>
      <c r="L46" s="148"/>
      <c r="M46" s="126">
        <v>43548</v>
      </c>
      <c r="N46" s="126">
        <v>43579</v>
      </c>
      <c r="O46" s="148"/>
      <c r="P46" s="149">
        <v>32</v>
      </c>
      <c r="Q46" s="149">
        <v>0</v>
      </c>
      <c r="R46" s="150">
        <f ca="1">IF(M46="","0",(N46-M46+1)-COUNTIFS(INDIRECT(getCalendarRange(O46)),"&gt;=" &amp; M46,INDIRECT(getCalendarRange(O46)),"&lt;=" &amp; N46))</f>
        <v>32</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1104</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1164</v>
      </c>
      <c r="J47" s="148"/>
      <c r="K47" s="148"/>
      <c r="L47" s="148"/>
      <c r="M47" s="126">
        <v>43509</v>
      </c>
      <c r="N47" s="126">
        <v>43580</v>
      </c>
      <c r="O47" s="148"/>
      <c r="P47" s="149">
        <v>115</v>
      </c>
      <c r="Q47" s="149">
        <v>71</v>
      </c>
      <c r="R47" s="150">
        <f ca="1">IF(M47="","0",(N47-M47+1)-COUNTIFS(INDIRECT(getCalendarRange(O47)),"&gt;=" &amp; M47,INDIRECT(getCalendarRange(O47)),"&lt;=" &amp; N47))</f>
        <v>72</v>
      </c>
      <c r="S47" s="150">
        <f ca="1">IF(M47&gt;TODAY(),0,IF(N47&lt;TODAY(),R47,(TODAY()-M47+1)-COUNTIFS(INDIRECT(getCalendarRange(O47)),"&gt;=" &amp; M47,INDIRECT(getCalendarRange(O47)),"&lt;=" &amp; TODAY())))</f>
        <v>28</v>
      </c>
      <c r="T47" s="126"/>
      <c r="U47" s="126"/>
      <c r="V47" s="151">
        <v>0</v>
      </c>
      <c r="W47" s="152" t="str">
        <f ca="1">IF(U47="","0",IF(T47="","0",(U47-T47+1)-COUNTIFS(INDIRECT(getCalendarRange(O47)),"&gt;=" &amp; T47,INDIRECT(getCalendarRange(O47)),"&lt;=" &amp; U47)))</f>
        <v>0</v>
      </c>
      <c r="X47" s="153"/>
      <c r="Y47" s="184" t="s">
        <v>1108</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1167</v>
      </c>
      <c r="K48" s="148"/>
      <c r="L48" s="148"/>
      <c r="M48" s="126">
        <v>43509</v>
      </c>
      <c r="N48" s="126">
        <v>43529</v>
      </c>
      <c r="O48" s="148"/>
      <c r="P48" s="149">
        <v>21</v>
      </c>
      <c r="Q48" s="149">
        <v>21</v>
      </c>
      <c r="R48" s="150">
        <f ca="1">IF(M48="","0",(N48-M48+1)-COUNTIFS(INDIRECT(getCalendarRange(O48)),"&gt;=" &amp; M48,INDIRECT(getCalendarRange(O48)),"&lt;=" &amp; N48))</f>
        <v>21</v>
      </c>
      <c r="S48" s="150">
        <f ca="1">IF(M48&gt;TODAY(),0,IF(N48&lt;TODAY(),R48,(TODAY()-M48+1)-COUNTIFS(INDIRECT(getCalendarRange(O48)),"&gt;=" &amp; M48,INDIRECT(getCalendarRange(O48)),"&lt;=" &amp; TODAY())))</f>
        <v>21</v>
      </c>
      <c r="T48" s="126"/>
      <c r="U48" s="126"/>
      <c r="V48" s="151"/>
      <c r="W48" s="152" t="str">
        <f ca="1">IF(U48="","0",IF(T48="","0",(U48-T48+1)-COUNTIFS(INDIRECT(getCalendarRange(O48)),"&gt;=" &amp; T48,INDIRECT(getCalendarRange(O48)),"&lt;=" &amp; U48)))</f>
        <v>0</v>
      </c>
      <c r="X48" s="153">
        <v>1</v>
      </c>
      <c r="Y48" s="184" t="s">
        <v>1108</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1165</v>
      </c>
      <c r="K49" s="148"/>
      <c r="L49" s="148"/>
      <c r="M49" s="126">
        <v>43510</v>
      </c>
      <c r="N49" s="126">
        <v>43514</v>
      </c>
      <c r="O49" s="148"/>
      <c r="P49" s="149">
        <v>5</v>
      </c>
      <c r="Q49" s="149">
        <v>5</v>
      </c>
      <c r="R49" s="150">
        <f ca="1">IF(M49="","0",(N49-M49+1)-COUNTIFS(INDIRECT(getCalendarRange(O49)),"&gt;=" &amp; M49,INDIRECT(getCalendarRange(O49)),"&lt;=" &amp; N49))</f>
        <v>5</v>
      </c>
      <c r="S49" s="150">
        <f ca="1">IF(M49&gt;TODAY(),0,IF(N49&lt;TODAY(),R49,(TODAY()-M49+1)-COUNTIFS(INDIRECT(getCalendarRange(O49)),"&gt;=" &amp; M49,INDIRECT(getCalendarRange(O49)),"&lt;=" &amp; TODAY())))</f>
        <v>5</v>
      </c>
      <c r="T49" s="126"/>
      <c r="U49" s="126"/>
      <c r="V49" s="151"/>
      <c r="W49" s="152" t="str">
        <f ca="1">IF(U49="","0",IF(T49="","0",(U49-T49+1)-COUNTIFS(INDIRECT(getCalendarRange(O49)),"&gt;=" &amp; T49,INDIRECT(getCalendarRange(O49)),"&lt;=" &amp; U49)))</f>
        <v>0</v>
      </c>
      <c r="X49" s="153">
        <v>1</v>
      </c>
      <c r="Y49" s="184" t="s">
        <v>1108</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1109</v>
      </c>
      <c r="K50" s="148"/>
      <c r="L50" s="148"/>
      <c r="M50" s="126">
        <v>43511</v>
      </c>
      <c r="N50" s="126">
        <v>43516</v>
      </c>
      <c r="O50" s="148"/>
      <c r="P50" s="149">
        <v>6</v>
      </c>
      <c r="Q50" s="149">
        <v>6</v>
      </c>
      <c r="R50" s="150">
        <f ca="1">IF(M50="","0",(N50-M50+1)-COUNTIFS(INDIRECT(getCalendarRange(O50)),"&gt;=" &amp; M50,INDIRECT(getCalendarRange(O50)),"&lt;=" &amp; N50))</f>
        <v>6</v>
      </c>
      <c r="S50" s="150">
        <f ca="1">IF(M50&gt;TODAY(),0,IF(N50&lt;TODAY(),R50,(TODAY()-M50+1)-COUNTIFS(INDIRECT(getCalendarRange(O50)),"&gt;=" &amp; M50,INDIRECT(getCalendarRange(O50)),"&lt;=" &amp; TODAY())))</f>
        <v>6</v>
      </c>
      <c r="T50" s="126"/>
      <c r="U50" s="126"/>
      <c r="V50" s="151"/>
      <c r="W50" s="152" t="str">
        <f ca="1">IF(U50="","0",IF(T50="","0",(U50-T50+1)-COUNTIFS(INDIRECT(getCalendarRange(O50)),"&gt;=" &amp; T50,INDIRECT(getCalendarRange(O50)),"&lt;=" &amp; U50)))</f>
        <v>0</v>
      </c>
      <c r="X50" s="153">
        <v>1</v>
      </c>
      <c r="Y50" s="184" t="s">
        <v>1108</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f ca="1">IF(M51="","0",(N51-M51+1)-COUNTIFS(INDIRECT(getCalendarRange(O51)),"&gt;=" &amp; M51,INDIRECT(getCalendarRange(O51)),"&lt;=" &amp; N51))</f>
        <v>3</v>
      </c>
      <c r="S51" s="150">
        <f ca="1">IF(M51&gt;TODAY(),0,IF(N51&lt;TODAY(),R51,(TODAY()-M51+1)-COUNTIFS(INDIRECT(getCalendarRange(O51)),"&gt;=" &amp; M51,INDIRECT(getCalendarRange(O51)),"&lt;=" &amp; TODAY())))</f>
        <v>3</v>
      </c>
      <c r="T51" s="126"/>
      <c r="U51" s="126"/>
      <c r="V51" s="151"/>
      <c r="W51" s="152" t="str">
        <f ca="1">IF(U51="","0",IF(T51="","0",(U51-T51+1)-COUNTIFS(INDIRECT(getCalendarRange(O51)),"&gt;=" &amp; T51,INDIRECT(getCalendarRange(O51)),"&lt;=" &amp; U51)))</f>
        <v>0</v>
      </c>
      <c r="X51" s="153">
        <v>1</v>
      </c>
      <c r="Y51" s="184" t="s">
        <v>1108</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f ca="1">IF(M52="","0",(N52-M52+1)-COUNTIFS(INDIRECT(getCalendarRange(O52)),"&gt;=" &amp; M52,INDIRECT(getCalendarRange(O52)),"&lt;=" &amp; N52))</f>
        <v>12</v>
      </c>
      <c r="S52" s="150">
        <f ca="1">IF(M52&gt;TODAY(),0,IF(N52&lt;TODAY(),R52,(TODAY()-M52+1)-COUNTIFS(INDIRECT(getCalendarRange(O52)),"&gt;=" &amp; M52,INDIRECT(getCalendarRange(O52)),"&lt;=" &amp; TODAY())))</f>
        <v>12</v>
      </c>
      <c r="T52" s="126"/>
      <c r="U52" s="126"/>
      <c r="V52" s="151"/>
      <c r="W52" s="152" t="str">
        <f ca="1">IF(U52="","0",IF(T52="","0",(U52-T52+1)-COUNTIFS(INDIRECT(getCalendarRange(O52)),"&gt;=" &amp; T52,INDIRECT(getCalendarRange(O52)),"&lt;=" &amp; U52)))</f>
        <v>0</v>
      </c>
      <c r="X52" s="153">
        <v>1</v>
      </c>
      <c r="Y52" s="184" t="s">
        <v>1108</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f ca="1">IF(M53="","0",(N53-M53+1)-COUNTIFS(INDIRECT(getCalendarRange(O53)),"&gt;=" &amp; M53,INDIRECT(getCalendarRange(O53)),"&lt;=" &amp; N53))</f>
        <v>16</v>
      </c>
      <c r="S53" s="150">
        <f ca="1">IF(M53&gt;TODAY(),0,IF(N53&lt;TODAY(),R53,(TODAY()-M53+1)-COUNTIFS(INDIRECT(getCalendarRange(O53)),"&gt;=" &amp; M53,INDIRECT(getCalendarRange(O53)),"&lt;=" &amp; TODAY())))</f>
        <v>16</v>
      </c>
      <c r="T53" s="126"/>
      <c r="U53" s="126"/>
      <c r="V53" s="151"/>
      <c r="W53" s="152" t="str">
        <f ca="1">IF(U53="","0",IF(T53="","0",(U53-T53+1)-COUNTIFS(INDIRECT(getCalendarRange(O53)),"&gt;=" &amp; T53,INDIRECT(getCalendarRange(O53)),"&lt;=" &amp; U53)))</f>
        <v>0</v>
      </c>
      <c r="X53" s="153">
        <v>1</v>
      </c>
      <c r="Y53" s="184" t="s">
        <v>1108</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1146</v>
      </c>
      <c r="E54" s="148"/>
      <c r="F54" s="148"/>
      <c r="G54" s="148"/>
      <c r="H54" s="148"/>
      <c r="I54" s="148"/>
      <c r="J54" s="183" t="s">
        <v>1147</v>
      </c>
      <c r="K54" s="148"/>
      <c r="L54" s="148"/>
      <c r="M54" s="126">
        <v>43529</v>
      </c>
      <c r="N54" s="126">
        <v>43580</v>
      </c>
      <c r="O54" s="148"/>
      <c r="P54" s="149">
        <v>52</v>
      </c>
      <c r="Q54" s="149">
        <v>8</v>
      </c>
      <c r="R54" s="150">
        <f ca="1">IF(M54="","0",(N54-M54+1)-COUNTIFS(INDIRECT(getCalendarRange(O54)),"&gt;=" &amp; M54,INDIRECT(getCalendarRange(O54)),"&lt;=" &amp; N54))</f>
        <v>52</v>
      </c>
      <c r="S54" s="150">
        <f ca="1">IF(M54&gt;TODAY(),0,IF(N54&lt;TODAY(),R54,(TODAY()-M54+1)-COUNTIFS(INDIRECT(getCalendarRange(O54)),"&gt;=" &amp; M54,INDIRECT(getCalendarRange(O54)),"&lt;=" &amp; TODAY())))</f>
        <v>8</v>
      </c>
      <c r="T54" s="126"/>
      <c r="U54" s="126"/>
      <c r="V54" s="151"/>
      <c r="W54" s="152" t="str">
        <f ca="1">IF(U54="","0",IF(T54="","0",(U54-T54+1)-COUNTIFS(INDIRECT(getCalendarRange(O54)),"&gt;=" &amp; T54,INDIRECT(getCalendarRange(O54)),"&lt;=" &amp; U54)))</f>
        <v>0</v>
      </c>
      <c r="X54" s="153">
        <v>1</v>
      </c>
      <c r="Y54" s="184" t="s">
        <v>1108</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1110</v>
      </c>
      <c r="J55" s="148"/>
      <c r="K55" s="148"/>
      <c r="L55" s="148"/>
      <c r="M55" s="126">
        <v>43497</v>
      </c>
      <c r="N55" s="126">
        <v>43573</v>
      </c>
      <c r="O55" s="148"/>
      <c r="P55" s="149">
        <v>106</v>
      </c>
      <c r="Q55" s="149">
        <v>59</v>
      </c>
      <c r="R55" s="150">
        <f ca="1">IF(M55="","0",(N55-M55+1)-COUNTIFS(INDIRECT(getCalendarRange(O55)),"&gt;=" &amp; M55,INDIRECT(getCalendarRange(O55)),"&lt;=" &amp; N55))</f>
        <v>77</v>
      </c>
      <c r="S55" s="150">
        <f ca="1">IF(M55&gt;TODAY(),0,IF(N55&lt;TODAY(),R55,(TODAY()-M55+1)-COUNTIFS(INDIRECT(getCalendarRange(O55)),"&gt;=" &amp; M55,INDIRECT(getCalendarRange(O55)),"&lt;=" &amp; TODAY())))</f>
        <v>40</v>
      </c>
      <c r="T55" s="126"/>
      <c r="U55" s="126"/>
      <c r="V55" s="151">
        <v>0</v>
      </c>
      <c r="W55" s="152" t="str">
        <f ca="1">IF(U55="","0",IF(T55="","0",(U55-T55+1)-COUNTIFS(INDIRECT(getCalendarRange(O55)),"&gt;=" &amp; T55,INDIRECT(getCalendarRange(O55)),"&lt;=" &amp; U55)))</f>
        <v>0</v>
      </c>
      <c r="X55" s="153"/>
      <c r="Y55" s="183" t="s">
        <v>1113</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2/1-4/18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43497</v>
      </c>
      <c r="N56" s="126">
        <v>43573</v>
      </c>
      <c r="O56" s="148"/>
      <c r="P56" s="149">
        <v>106</v>
      </c>
      <c r="Q56" s="149">
        <v>59</v>
      </c>
      <c r="R56" s="150">
        <f ca="1">IF(M56="","0",(N56-M56+1)-COUNTIFS(INDIRECT(getCalendarRange(O56)),"&gt;=" &amp; M56,INDIRECT(getCalendarRange(O56)),"&lt;=" &amp; N56))</f>
        <v>77</v>
      </c>
      <c r="S56" s="150">
        <f ca="1">IF(M56&gt;TODAY(),0,IF(N56&lt;TODAY(),R56,(TODAY()-M56+1)-COUNTIFS(INDIRECT(getCalendarRange(O56)),"&gt;=" &amp; M56,INDIRECT(getCalendarRange(O56)),"&lt;=" &amp; TODAY())))</f>
        <v>40</v>
      </c>
      <c r="T56" s="126"/>
      <c r="U56" s="126"/>
      <c r="V56" s="151">
        <v>0</v>
      </c>
      <c r="W56" s="152" t="str">
        <f ca="1">IF(U56="","0",IF(T56="","0",(U56-T56+1)-COUNTIFS(INDIRECT(getCalendarRange(O56)),"&gt;=" &amp; T56,INDIRECT(getCalendarRange(O56)),"&lt;=" &amp; U56)))</f>
        <v>0</v>
      </c>
      <c r="X56" s="153"/>
      <c r="Y56" s="183" t="s">
        <v>1113</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2/1-4/18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1103</v>
      </c>
      <c r="E57" s="148"/>
      <c r="F57" s="148"/>
      <c r="G57" s="148"/>
      <c r="H57" s="148"/>
      <c r="I57" s="148"/>
      <c r="J57" s="183"/>
      <c r="K57" s="183" t="s">
        <v>1114</v>
      </c>
      <c r="L57" s="148"/>
      <c r="M57" s="126">
        <v>43497</v>
      </c>
      <c r="N57" s="126">
        <v>43503</v>
      </c>
      <c r="O57" s="148"/>
      <c r="P57" s="149">
        <v>7</v>
      </c>
      <c r="Q57" s="149">
        <v>7</v>
      </c>
      <c r="R57" s="150">
        <f ca="1">IF(M57="","0",(N57-M57+1)-COUNTIFS(INDIRECT(getCalendarRange(O57)),"&gt;=" &amp; M57,INDIRECT(getCalendarRange(O57)),"&lt;=" &amp; N57))</f>
        <v>7</v>
      </c>
      <c r="S57" s="150">
        <f ca="1">IF(M57&gt;TODAY(),0,IF(N57&lt;TODAY(),R57,(TODAY()-M57+1)-COUNTIFS(INDIRECT(getCalendarRange(O57)),"&gt;=" &amp; M57,INDIRECT(getCalendarRange(O57)),"&lt;=" &amp; TODAY())))</f>
        <v>7</v>
      </c>
      <c r="T57" s="126"/>
      <c r="U57" s="126"/>
      <c r="V57" s="151"/>
      <c r="W57" s="152" t="str">
        <f ca="1">IF(U57="","0",IF(T57="","0",(U57-T57+1)-COUNTIFS(INDIRECT(getCalendarRange(O57)),"&gt;=" &amp; T57,INDIRECT(getCalendarRange(O57)),"&lt;=" &amp; U57)))</f>
        <v>0</v>
      </c>
      <c r="X57" s="153">
        <v>1</v>
      </c>
      <c r="Y57" s="183" t="s">
        <v>1113</v>
      </c>
      <c r="Z57" s="154"/>
      <c r="AA57" s="155">
        <v>1</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t="str">
        <f>K57 &amp; " " &amp; IF(M57="","",TEXT(M57,"M/D-")) &amp; IF(N57="","",TEXT(N57,"M/D")) &amp; " "</f>
        <v xml:space="preserve">제품소개 2/1-2/7 </v>
      </c>
      <c r="DG57" s="207" t="str">
        <f>TEXT(AB57,"#0.00%") &amp; " "</f>
        <v xml:space="preserve">0.00% </v>
      </c>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1120</v>
      </c>
      <c r="E58" s="148"/>
      <c r="F58" s="148"/>
      <c r="G58" s="148"/>
      <c r="H58" s="148"/>
      <c r="I58" s="148"/>
      <c r="J58" s="183"/>
      <c r="K58" s="183" t="s">
        <v>1116</v>
      </c>
      <c r="L58" s="148"/>
      <c r="M58" s="126">
        <v>43497</v>
      </c>
      <c r="N58" s="126">
        <v>43503</v>
      </c>
      <c r="O58" s="148"/>
      <c r="P58" s="149">
        <v>7</v>
      </c>
      <c r="Q58" s="149">
        <v>7</v>
      </c>
      <c r="R58" s="150">
        <f ca="1">IF(M58="","0",(N58-M58+1)-COUNTIFS(INDIRECT(getCalendarRange(O58)),"&gt;=" &amp; M58,INDIRECT(getCalendarRange(O58)),"&lt;=" &amp; N58))</f>
        <v>7</v>
      </c>
      <c r="S58" s="150">
        <f ca="1">IF(M58&gt;TODAY(),0,IF(N58&lt;TODAY(),R58,(TODAY()-M58+1)-COUNTIFS(INDIRECT(getCalendarRange(O58)),"&gt;=" &amp; M58,INDIRECT(getCalendarRange(O58)),"&lt;=" &amp; TODAY())))</f>
        <v>7</v>
      </c>
      <c r="T58" s="126"/>
      <c r="U58" s="126"/>
      <c r="V58" s="151"/>
      <c r="W58" s="152" t="str">
        <f ca="1">IF(U58="","0",IF(T58="","0",(U58-T58+1)-COUNTIFS(INDIRECT(getCalendarRange(O58)),"&gt;=" &amp; T58,INDIRECT(getCalendarRange(O58)),"&lt;=" &amp; U58)))</f>
        <v>0</v>
      </c>
      <c r="X58" s="153">
        <v>1</v>
      </c>
      <c r="Y58" s="183" t="s">
        <v>1113</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문의사항 2/1-2/7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1121</v>
      </c>
      <c r="E59" s="148"/>
      <c r="F59" s="148"/>
      <c r="G59" s="148"/>
      <c r="H59" s="148"/>
      <c r="I59" s="148"/>
      <c r="J59" s="183"/>
      <c r="K59" s="183" t="s">
        <v>1166</v>
      </c>
      <c r="L59" s="148"/>
      <c r="M59" s="126">
        <v>43548</v>
      </c>
      <c r="N59" s="126">
        <v>43555</v>
      </c>
      <c r="O59" s="148"/>
      <c r="P59" s="149">
        <v>8</v>
      </c>
      <c r="Q59" s="149">
        <v>0</v>
      </c>
      <c r="R59" s="150">
        <f ca="1">IF(M59="","0",(N59-M59+1)-COUNTIFS(INDIRECT(getCalendarRange(O59)),"&gt;=" &amp; M59,INDIRECT(getCalendarRange(O59)),"&lt;=" &amp; N59))</f>
        <v>8</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1113</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t="str">
        <f>K59 &amp; " " &amp; IF(M59="","",TEXT(M59,"M/D-")) &amp; IF(N59="","",TEXT(N59,"M/D")) &amp; " "</f>
        <v xml:space="preserve">감정 그래프 3/24-3/31 </v>
      </c>
      <c r="FF59" s="207" t="str">
        <f>TEXT(AB59,"#0.00%") &amp; " "</f>
        <v xml:space="preserve">0.00% </v>
      </c>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1122</v>
      </c>
      <c r="E60" s="148"/>
      <c r="F60" s="148"/>
      <c r="G60" s="148"/>
      <c r="H60" s="148"/>
      <c r="I60" s="148"/>
      <c r="J60" s="183"/>
      <c r="K60" s="183" t="s">
        <v>1117</v>
      </c>
      <c r="L60" s="148"/>
      <c r="M60" s="126">
        <v>43503</v>
      </c>
      <c r="N60" s="126">
        <v>43510</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1113</v>
      </c>
      <c r="Z60" s="154"/>
      <c r="AA60" s="155">
        <v>1</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t="str">
        <f>K60 &amp; " " &amp; IF(M60="","",TEXT(M60,"M/D-")) &amp; IF(N60="","",TEXT(N60,"M/D")) &amp; " "</f>
        <v xml:space="preserve">디퓨저 판매 2/7-2/14 </v>
      </c>
      <c r="DM60" s="207" t="str">
        <f>TEXT(AB60,"#0.00%") &amp; " "</f>
        <v xml:space="preserve">0.00% </v>
      </c>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1123</v>
      </c>
      <c r="E61" s="148"/>
      <c r="F61" s="148"/>
      <c r="G61" s="148"/>
      <c r="H61" s="148"/>
      <c r="I61" s="148"/>
      <c r="J61" s="183"/>
      <c r="K61" s="184" t="s">
        <v>1170</v>
      </c>
      <c r="L61" s="148"/>
      <c r="M61" s="126">
        <v>43503</v>
      </c>
      <c r="N61" s="126">
        <v>43510</v>
      </c>
      <c r="O61" s="148"/>
      <c r="P61" s="149">
        <v>8</v>
      </c>
      <c r="Q61" s="149">
        <v>8</v>
      </c>
      <c r="R61" s="150">
        <f ca="1">IF(M61="","0",(N61-M61+1)-COUNTIFS(INDIRECT(getCalendarRange(O61)),"&gt;=" &amp; M61,INDIRECT(getCalendarRange(O61)),"&lt;=" &amp; N61))</f>
        <v>8</v>
      </c>
      <c r="S61" s="150">
        <f ca="1">IF(M61&gt;TODAY(),0,IF(N61&lt;TODAY(),R61,(TODAY()-M61+1)-COUNTIFS(INDIRECT(getCalendarRange(O61)),"&gt;=" &amp; M61,INDIRECT(getCalendarRange(O61)),"&lt;=" &amp; TODAY())))</f>
        <v>8</v>
      </c>
      <c r="T61" s="126"/>
      <c r="U61" s="126"/>
      <c r="V61" s="151"/>
      <c r="W61" s="152" t="str">
        <f ca="1">IF(U61="","0",IF(T61="","0",(U61-T61+1)-COUNTIFS(INDIRECT(getCalendarRange(O61)),"&gt;=" &amp; T61,INDIRECT(getCalendarRange(O61)),"&lt;=" &amp; U61)))</f>
        <v>0</v>
      </c>
      <c r="X61" s="153">
        <v>1</v>
      </c>
      <c r="Y61" s="183" t="s">
        <v>1113</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제품,리필용액 판매 2/7-2/14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1124</v>
      </c>
      <c r="E62" s="148"/>
      <c r="F62" s="148"/>
      <c r="G62" s="148"/>
      <c r="H62" s="148"/>
      <c r="I62" s="148"/>
      <c r="J62" s="183"/>
      <c r="K62" s="183" t="s">
        <v>1118</v>
      </c>
      <c r="L62" s="148"/>
      <c r="M62" s="126">
        <v>43510</v>
      </c>
      <c r="N62" s="126">
        <v>43517</v>
      </c>
      <c r="O62" s="148"/>
      <c r="P62" s="149">
        <v>8</v>
      </c>
      <c r="Q62" s="149">
        <v>8</v>
      </c>
      <c r="R62" s="150">
        <f ca="1">IF(M62="","0",(N62-M62+1)-COUNTIFS(INDIRECT(getCalendarRange(O62)),"&gt;=" &amp; M62,INDIRECT(getCalendarRange(O62)),"&lt;=" &amp; N62))</f>
        <v>8</v>
      </c>
      <c r="S62" s="150">
        <f ca="1">IF(M62&gt;TODAY(),0,IF(N62&lt;TODAY(),R62,(TODAY()-M62+1)-COUNTIFS(INDIRECT(getCalendarRange(O62)),"&gt;=" &amp; M62,INDIRECT(getCalendarRange(O62)),"&lt;=" &amp; TODAY())))</f>
        <v>8</v>
      </c>
      <c r="T62" s="126"/>
      <c r="U62" s="126"/>
      <c r="V62" s="151"/>
      <c r="W62" s="152" t="str">
        <f ca="1">IF(U62="","0",IF(T62="","0",(U62-T62+1)-COUNTIFS(INDIRECT(getCalendarRange(O62)),"&gt;=" &amp; T62,INDIRECT(getCalendarRange(O62)),"&lt;=" &amp; U62)))</f>
        <v>0</v>
      </c>
      <c r="X62" s="153">
        <v>1</v>
      </c>
      <c r="Y62" s="183" t="s">
        <v>1113</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t="str">
        <f>K62 &amp; " " &amp; IF(M62="","",TEXT(M62,"M/D-")) &amp; IF(N62="","",TEXT(N62,"M/D")) &amp; " "</f>
        <v xml:space="preserve">장바구니 2/14-2/21 </v>
      </c>
      <c r="DT62" s="207" t="str">
        <f>TEXT(AB62,"#0.00%") &amp; " "</f>
        <v xml:space="preserve">0.00% </v>
      </c>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1125</v>
      </c>
      <c r="E63" s="148"/>
      <c r="F63" s="148"/>
      <c r="G63" s="148"/>
      <c r="H63" s="148"/>
      <c r="I63" s="148"/>
      <c r="J63" s="183"/>
      <c r="K63" s="183" t="s">
        <v>1111</v>
      </c>
      <c r="L63" s="148"/>
      <c r="M63" s="126">
        <v>43517</v>
      </c>
      <c r="N63" s="126">
        <v>43524</v>
      </c>
      <c r="O63" s="148"/>
      <c r="P63" s="149">
        <v>8</v>
      </c>
      <c r="Q63" s="149">
        <v>8</v>
      </c>
      <c r="R63" s="150">
        <f ca="1">IF(M63="","0",(N63-M63+1)-COUNTIFS(INDIRECT(getCalendarRange(O63)),"&gt;=" &amp; M63,INDIRECT(getCalendarRange(O63)),"&lt;=" &amp; N63))</f>
        <v>8</v>
      </c>
      <c r="S63" s="150">
        <f ca="1">IF(M63&gt;TODAY(),0,IF(N63&lt;TODAY(),R63,(TODAY()-M63+1)-COUNTIFS(INDIRECT(getCalendarRange(O63)),"&gt;=" &amp; M63,INDIRECT(getCalendarRange(O63)),"&lt;=" &amp; TODAY())))</f>
        <v>8</v>
      </c>
      <c r="T63" s="126"/>
      <c r="U63" s="126"/>
      <c r="V63" s="151"/>
      <c r="W63" s="152" t="str">
        <f ca="1">IF(U63="","0",IF(T63="","0",(U63-T63+1)-COUNTIFS(INDIRECT(getCalendarRange(O63)),"&gt;=" &amp; T63,INDIRECT(getCalendarRange(O63)),"&lt;=" &amp; U63)))</f>
        <v>0</v>
      </c>
      <c r="X63" s="153">
        <v>1</v>
      </c>
      <c r="Y63" s="183" t="s">
        <v>1113</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t="str">
        <f>K63 &amp; " " &amp; IF(M63="","",TEXT(M63,"M/D-")) &amp; IF(N63="","",TEXT(N63,"M/D")) &amp; " "</f>
        <v xml:space="preserve">커뮤니티 2/21-2/28 </v>
      </c>
      <c r="EA63" s="207" t="str">
        <f>TEXT(AB63,"#0.00%") &amp; " "</f>
        <v xml:space="preserve">0.00% </v>
      </c>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1126</v>
      </c>
      <c r="E64" s="148"/>
      <c r="F64" s="148"/>
      <c r="G64" s="148"/>
      <c r="H64" s="148"/>
      <c r="I64" s="148"/>
      <c r="J64" s="183"/>
      <c r="K64" s="183" t="s">
        <v>1119</v>
      </c>
      <c r="L64" s="148"/>
      <c r="M64" s="126">
        <v>43524</v>
      </c>
      <c r="N64" s="126">
        <v>43538</v>
      </c>
      <c r="O64" s="148"/>
      <c r="P64" s="149">
        <v>15</v>
      </c>
      <c r="Q64" s="149">
        <v>13</v>
      </c>
      <c r="R64" s="150">
        <f ca="1">IF(M64="","0",(N64-M64+1)-COUNTIFS(INDIRECT(getCalendarRange(O64)),"&gt;=" &amp; M64,INDIRECT(getCalendarRange(O64)),"&lt;=" &amp; N64))</f>
        <v>15</v>
      </c>
      <c r="S64" s="150">
        <f ca="1">IF(M64&gt;TODAY(),0,IF(N64&lt;TODAY(),R64,(TODAY()-M64+1)-COUNTIFS(INDIRECT(getCalendarRange(O64)),"&gt;=" &amp; M64,INDIRECT(getCalendarRange(O64)),"&lt;=" &amp; TODAY())))</f>
        <v>13</v>
      </c>
      <c r="T64" s="126"/>
      <c r="U64" s="126"/>
      <c r="V64" s="151"/>
      <c r="W64" s="152" t="str">
        <f ca="1">IF(U64="","0",IF(T64="","0",(U64-T64+1)-COUNTIFS(INDIRECT(getCalendarRange(O64)),"&gt;=" &amp; T64,INDIRECT(getCalendarRange(O64)),"&lt;=" &amp; U64)))</f>
        <v>0</v>
      </c>
      <c r="X64" s="153">
        <v>1</v>
      </c>
      <c r="Y64" s="183" t="s">
        <v>1113</v>
      </c>
      <c r="Z64" s="154"/>
      <c r="AA64" s="155">
        <v>0.8666666666666667</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8"/>
      <c r="EB64" s="208"/>
      <c r="EC64" s="208"/>
      <c r="ED64" s="208"/>
      <c r="EE64" s="208"/>
      <c r="EF64" s="208"/>
      <c r="EG64" s="208" t="str">
        <f>K64 &amp; " " &amp; IF(M64="","",TEXT(M64,"M/D-")) &amp; IF(N64="","",TEXT(N64,"M/D")) &amp; " "</f>
        <v xml:space="preserve">검색 2/28-3/14 </v>
      </c>
      <c r="EH64" s="207" t="str">
        <f>TEXT(AB64,"#0.00%") &amp; " "</f>
        <v xml:space="preserve">0.00% </v>
      </c>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1127</v>
      </c>
      <c r="E65" s="148"/>
      <c r="F65" s="148"/>
      <c r="G65" s="148"/>
      <c r="H65" s="148"/>
      <c r="I65" s="148"/>
      <c r="J65" s="184"/>
      <c r="K65" s="183" t="s">
        <v>1112</v>
      </c>
      <c r="L65" s="148"/>
      <c r="M65" s="126">
        <v>43538</v>
      </c>
      <c r="N65" s="126">
        <v>43554</v>
      </c>
      <c r="O65" s="148"/>
      <c r="P65" s="149">
        <v>17</v>
      </c>
      <c r="Q65" s="149">
        <v>0</v>
      </c>
      <c r="R65" s="150">
        <f ca="1">IF(M65="","0",(N65-M65+1)-COUNTIFS(INDIRECT(getCalendarRange(O65)),"&gt;=" &amp; M65,INDIRECT(getCalendarRange(O65)),"&lt;=" &amp; N65))</f>
        <v>17</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1113</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t="str">
        <f>K65 &amp; " " &amp; IF(M65="","",TEXT(M65,"M/D-")) &amp; IF(N65="","",TEXT(N65,"M/D")) &amp; " "</f>
        <v xml:space="preserve">마이페이지 3/14-3/30 </v>
      </c>
      <c r="EV65" s="207" t="str">
        <f>TEXT(AB65,"#0.00%") &amp; " "</f>
        <v xml:space="preserve">0.00% </v>
      </c>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1148</v>
      </c>
      <c r="E66" s="148"/>
      <c r="F66" s="148"/>
      <c r="G66" s="148"/>
      <c r="H66" s="148"/>
      <c r="I66" s="148"/>
      <c r="J66" s="183"/>
      <c r="K66" s="183" t="s">
        <v>1149</v>
      </c>
      <c r="L66" s="184"/>
      <c r="M66" s="126">
        <v>43554</v>
      </c>
      <c r="N66" s="126">
        <v>43573</v>
      </c>
      <c r="O66" s="148"/>
      <c r="P66" s="149">
        <v>20</v>
      </c>
      <c r="Q66" s="149">
        <v>0</v>
      </c>
      <c r="R66" s="150">
        <f ca="1">IF(M66="","0",(N66-M66+1)-COUNTIFS(INDIRECT(getCalendarRange(O66)),"&gt;=" &amp; M66,INDIRECT(getCalendarRange(O66)),"&lt;=" &amp; N66))</f>
        <v>20</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1094</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t="str">
        <f>K66 &amp; " " &amp; IF(M66="","",TEXT(M66,"M/D-")) &amp; IF(N66="","",TEXT(N66,"M/D")) &amp; " "</f>
        <v xml:space="preserve">디자인 수정 3/30-4/18 </v>
      </c>
      <c r="FL66" s="207" t="str">
        <f>TEXT(AB66,"#0.00%") &amp; " "</f>
        <v xml:space="preserve">0.00% </v>
      </c>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t="s">
        <v>996</v>
      </c>
      <c r="C67" s="147">
        <v>5</v>
      </c>
      <c r="D67" s="157" t="s">
        <v>980</v>
      </c>
      <c r="E67" s="148"/>
      <c r="F67" s="148"/>
      <c r="G67" s="148"/>
      <c r="H67" s="148"/>
      <c r="I67" s="184" t="s">
        <v>1140</v>
      </c>
      <c r="J67" s="148"/>
      <c r="K67" s="148"/>
      <c r="L67" s="148"/>
      <c r="M67" s="126">
        <v>43497</v>
      </c>
      <c r="N67" s="126">
        <v>43579</v>
      </c>
      <c r="O67" s="148"/>
      <c r="P67" s="149">
        <v>90</v>
      </c>
      <c r="Q67" s="149">
        <v>46</v>
      </c>
      <c r="R67" s="150">
        <f ca="1">IF(M67="","0",(N67-M67+1)-COUNTIFS(INDIRECT(getCalendarRange(O67)),"&gt;=" &amp; M67,INDIRECT(getCalendarRange(O67)),"&lt;=" &amp; N67))</f>
        <v>83</v>
      </c>
      <c r="S67" s="150">
        <f ca="1">IF(M67&gt;TODAY(),0,IF(N67&lt;TODAY(),R67,(TODAY()-M67+1)-COUNTIFS(INDIRECT(getCalendarRange(O67)),"&gt;=" &amp; M67,INDIRECT(getCalendarRange(O67)),"&lt;=" &amp; TODAY())))</f>
        <v>40</v>
      </c>
      <c r="T67" s="126"/>
      <c r="U67" s="126"/>
      <c r="V67" s="151">
        <v>0</v>
      </c>
      <c r="W67" s="152" t="str">
        <f ca="1">IF(U67="","0",IF(T67="","0",(U67-T67+1)-COUNTIFS(INDIRECT(getCalendarRange(O67)),"&gt;=" &amp; T67,INDIRECT(getCalendarRange(O67)),"&lt;=" &amp; U67)))</f>
        <v>0</v>
      </c>
      <c r="X67" s="153"/>
      <c r="Y67" s="184" t="s">
        <v>1108</v>
      </c>
      <c r="Z67" s="154"/>
      <c r="AA67" s="155">
        <v>0.51111111111111107</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t="str">
        <f>I67 &amp; " " &amp; IF(M67="","",TEXT(M67,"M/D-")) &amp; IF(N67="","",TEXT(N67,"M/D")) &amp; " "</f>
        <v xml:space="preserve">어플리케이션 개발 2/1-4/24 </v>
      </c>
      <c r="DG67" s="207" t="str">
        <f>TEXT(AB67,"#0.00%") &amp; " "</f>
        <v xml:space="preserve">0.00% </v>
      </c>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6</v>
      </c>
      <c r="D68" s="157" t="s">
        <v>1135</v>
      </c>
      <c r="E68" s="148"/>
      <c r="F68" s="148"/>
      <c r="G68" s="148"/>
      <c r="H68" s="148"/>
      <c r="I68" s="184"/>
      <c r="J68" s="184" t="s">
        <v>1145</v>
      </c>
      <c r="K68" s="148"/>
      <c r="L68" s="148"/>
      <c r="M68" s="126">
        <v>43529</v>
      </c>
      <c r="N68" s="126">
        <v>43539</v>
      </c>
      <c r="O68" s="148"/>
      <c r="P68" s="149">
        <v>11</v>
      </c>
      <c r="Q68" s="149">
        <v>8</v>
      </c>
      <c r="R68" s="150">
        <f ca="1">IF(M68="","0",(N68-M68+1)-COUNTIFS(INDIRECT(getCalendarRange(O68)),"&gt;=" &amp; M68,INDIRECT(getCalendarRange(O68)),"&lt;=" &amp; N68))</f>
        <v>11</v>
      </c>
      <c r="S68" s="150">
        <f ca="1">IF(M68&gt;TODAY(),0,IF(N68&lt;TODAY(),R68,(TODAY()-M68+1)-COUNTIFS(INDIRECT(getCalendarRange(O68)),"&gt;=" &amp; M68,INDIRECT(getCalendarRange(O68)),"&lt;=" &amp; TODAY())))</f>
        <v>8</v>
      </c>
      <c r="T68" s="126"/>
      <c r="U68" s="126"/>
      <c r="V68" s="151"/>
      <c r="W68" s="152" t="str">
        <f ca="1">IF(U68="","0",IF(T68="","0",(U68-T68+1)-COUNTIFS(INDIRECT(getCalendarRange(O68)),"&gt;=" &amp; T68,INDIRECT(getCalendarRange(O68)),"&lt;=" &amp; U68)))</f>
        <v>0</v>
      </c>
      <c r="X68" s="153">
        <v>1</v>
      </c>
      <c r="Y68" s="184" t="s">
        <v>1108</v>
      </c>
      <c r="Z68" s="154"/>
      <c r="AA68" s="155">
        <v>0.72727272727272729</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t="str">
        <f>J68 &amp; " " &amp; IF(M68="","",TEXT(M68,"M/D-")) &amp; IF(N68="","",TEXT(N68,"M/D")) &amp; " "</f>
        <v xml:space="preserve">디퓨저 연동 페이지 3/5-3/15 </v>
      </c>
      <c r="EM68" s="207" t="str">
        <f>TEXT(AB68,"#0.00%") &amp; " "</f>
        <v xml:space="preserve">0.00% </v>
      </c>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1136</v>
      </c>
      <c r="E69" s="148"/>
      <c r="F69" s="148"/>
      <c r="G69" s="148"/>
      <c r="H69" s="148"/>
      <c r="I69" s="148"/>
      <c r="J69" s="183" t="s">
        <v>1115</v>
      </c>
      <c r="K69" s="148"/>
      <c r="L69" s="148"/>
      <c r="M69" s="126">
        <v>43529</v>
      </c>
      <c r="N69" s="126">
        <v>43544</v>
      </c>
      <c r="O69" s="148"/>
      <c r="P69" s="149">
        <v>16</v>
      </c>
      <c r="Q69" s="149">
        <v>8</v>
      </c>
      <c r="R69" s="150">
        <f ca="1">IF(M69="","0",(N69-M69+1)-COUNTIFS(INDIRECT(getCalendarRange(O69)),"&gt;=" &amp; M69,INDIRECT(getCalendarRange(O69)),"&lt;=" &amp; N69))</f>
        <v>16</v>
      </c>
      <c r="S69" s="150">
        <f ca="1">IF(M69&gt;TODAY(),0,IF(N69&lt;TODAY(),R69,(TODAY()-M69+1)-COUNTIFS(INDIRECT(getCalendarRange(O69)),"&gt;=" &amp; M69,INDIRECT(getCalendarRange(O69)),"&lt;=" &amp; TODAY())))</f>
        <v>8</v>
      </c>
      <c r="T69" s="126"/>
      <c r="U69" s="126"/>
      <c r="V69" s="151"/>
      <c r="W69" s="152" t="str">
        <f ca="1">IF(U69="","0",IF(T69="","0",(U69-T69+1)-COUNTIFS(INDIRECT(getCalendarRange(O69)),"&gt;=" &amp; T69,INDIRECT(getCalendarRange(O69)),"&lt;=" &amp; U69)))</f>
        <v>0</v>
      </c>
      <c r="X69" s="153">
        <v>1</v>
      </c>
      <c r="Y69" s="184" t="s">
        <v>1108</v>
      </c>
      <c r="Z69" s="154"/>
      <c r="AA69" s="155">
        <v>0.5</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설정 3/5-3/20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1137</v>
      </c>
      <c r="E70" s="148"/>
      <c r="F70" s="148"/>
      <c r="G70" s="148"/>
      <c r="H70" s="148"/>
      <c r="I70" s="184"/>
      <c r="J70" s="184" t="s">
        <v>1141</v>
      </c>
      <c r="K70" s="148"/>
      <c r="L70" s="148"/>
      <c r="M70" s="126">
        <v>43497</v>
      </c>
      <c r="N70" s="126">
        <v>43506</v>
      </c>
      <c r="O70" s="148"/>
      <c r="P70" s="149">
        <v>10</v>
      </c>
      <c r="Q70" s="149">
        <v>10</v>
      </c>
      <c r="R70" s="150">
        <f ca="1">IF(M70="","0",(N70-M70+1)-COUNTIFS(INDIRECT(getCalendarRange(O70)),"&gt;=" &amp; M70,INDIRECT(getCalendarRange(O70)),"&lt;=" &amp; N70))</f>
        <v>10</v>
      </c>
      <c r="S70" s="150">
        <f ca="1">IF(M70&gt;TODAY(),0,IF(N70&lt;TODAY(),R70,(TODAY()-M70+1)-COUNTIFS(INDIRECT(getCalendarRange(O70)),"&gt;=" &amp; M70,INDIRECT(getCalendarRange(O70)),"&lt;=" &amp; TODAY())))</f>
        <v>10</v>
      </c>
      <c r="T70" s="126"/>
      <c r="U70" s="126"/>
      <c r="V70" s="151"/>
      <c r="W70" s="152" t="str">
        <f ca="1">IF(U70="","0",IF(T70="","0",(U70-T70+1)-COUNTIFS(INDIRECT(getCalendarRange(O70)),"&gt;=" &amp; T70,INDIRECT(getCalendarRange(O70)),"&lt;=" &amp; U70)))</f>
        <v>0</v>
      </c>
      <c r="X70" s="153">
        <v>1</v>
      </c>
      <c r="Y70" s="184" t="s">
        <v>1108</v>
      </c>
      <c r="Z70" s="154"/>
      <c r="AA70" s="155">
        <v>1</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t="str">
        <f>J70 &amp; " " &amp; IF(M70="","",TEXT(M70,"M/D-")) &amp; IF(N70="","",TEXT(N70,"M/D")) &amp; " "</f>
        <v xml:space="preserve">디퓨저 정보 제공 2/1-2/10 </v>
      </c>
      <c r="DG70" s="207" t="str">
        <f>TEXT(AB70,"#0.00%") &amp; " "</f>
        <v xml:space="preserve">0.00% </v>
      </c>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c r="EM70" s="208"/>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1138</v>
      </c>
      <c r="E71" s="148"/>
      <c r="F71" s="148"/>
      <c r="G71" s="148"/>
      <c r="H71" s="148"/>
      <c r="I71" s="184"/>
      <c r="J71" s="184" t="s">
        <v>1171</v>
      </c>
      <c r="K71" s="148"/>
      <c r="L71" s="148"/>
      <c r="M71" s="126">
        <v>43506</v>
      </c>
      <c r="N71" s="126">
        <v>43516</v>
      </c>
      <c r="O71" s="148"/>
      <c r="P71" s="149">
        <v>11</v>
      </c>
      <c r="Q71" s="149">
        <v>11</v>
      </c>
      <c r="R71" s="150">
        <f ca="1">IF(M71="","0",(N71-M71+1)-COUNTIFS(INDIRECT(getCalendarRange(O71)),"&gt;=" &amp; M71,INDIRECT(getCalendarRange(O71)),"&lt;=" &amp; N71))</f>
        <v>11</v>
      </c>
      <c r="S71" s="150">
        <f ca="1">IF(M71&gt;TODAY(),0,IF(N71&lt;TODAY(),R71,(TODAY()-M71+1)-COUNTIFS(INDIRECT(getCalendarRange(O71)),"&gt;=" &amp; M71,INDIRECT(getCalendarRange(O71)),"&lt;=" &amp; TODAY())))</f>
        <v>11</v>
      </c>
      <c r="T71" s="126"/>
      <c r="U71" s="126"/>
      <c r="V71" s="151"/>
      <c r="W71" s="152" t="str">
        <f ca="1">IF(U71="","0",IF(T71="","0",(U71-T71+1)-COUNTIFS(INDIRECT(getCalendarRange(O71)),"&gt;=" &amp; T71,INDIRECT(getCalendarRange(O71)),"&lt;=" &amp; U71)))</f>
        <v>0</v>
      </c>
      <c r="X71" s="153">
        <v>1</v>
      </c>
      <c r="Y71" s="184" t="s">
        <v>1108</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t="str">
        <f>J71 &amp; " " &amp; IF(M71="","",TEXT(M71,"M/D-")) &amp; IF(N71="","",TEXT(N71,"M/D")) &amp; " "</f>
        <v xml:space="preserve">리모컨 기능 2/10-2/20 </v>
      </c>
      <c r="DP71" s="207" t="str">
        <f>TEXT(AB71,"#0.00%") &amp; " "</f>
        <v xml:space="preserve">0.00% </v>
      </c>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1139</v>
      </c>
      <c r="E72" s="148"/>
      <c r="F72" s="148"/>
      <c r="G72" s="148"/>
      <c r="H72" s="148"/>
      <c r="I72" s="184"/>
      <c r="J72" s="184" t="s">
        <v>1172</v>
      </c>
      <c r="K72" s="148"/>
      <c r="L72" s="148"/>
      <c r="M72" s="126">
        <v>43516</v>
      </c>
      <c r="N72" s="126">
        <v>43524</v>
      </c>
      <c r="O72" s="148"/>
      <c r="P72" s="149">
        <v>9</v>
      </c>
      <c r="Q72" s="149">
        <v>9</v>
      </c>
      <c r="R72" s="150">
        <f ca="1">IF(M72="","0",(N72-M72+1)-COUNTIFS(INDIRECT(getCalendarRange(O72)),"&gt;=" &amp; M72,INDIRECT(getCalendarRange(O72)),"&lt;=" &amp; N72))</f>
        <v>9</v>
      </c>
      <c r="S72" s="150">
        <f ca="1">IF(M72&gt;TODAY(),0,IF(N72&lt;TODAY(),R72,(TODAY()-M72+1)-COUNTIFS(INDIRECT(getCalendarRange(O72)),"&gt;=" &amp; M72,INDIRECT(getCalendarRange(O72)),"&lt;=" &amp; TODAY())))</f>
        <v>9</v>
      </c>
      <c r="T72" s="126"/>
      <c r="U72" s="126"/>
      <c r="V72" s="151"/>
      <c r="W72" s="152" t="str">
        <f ca="1">IF(U72="","0",IF(T72="","0",(U72-T72+1)-COUNTIFS(INDIRECT(getCalendarRange(O72)),"&gt;=" &amp; T72,INDIRECT(getCalendarRange(O72)),"&lt;=" &amp; U72)))</f>
        <v>0</v>
      </c>
      <c r="X72" s="153">
        <v>1</v>
      </c>
      <c r="Y72" s="184" t="s">
        <v>1108</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8"/>
      <c r="DQ72" s="208"/>
      <c r="DR72" s="208"/>
      <c r="DS72" s="208"/>
      <c r="DT72" s="208"/>
      <c r="DU72" s="208"/>
      <c r="DV72" s="208"/>
      <c r="DW72" s="208"/>
      <c r="DX72" s="208"/>
      <c r="DY72" s="208" t="str">
        <f>J72 &amp; " " &amp; IF(M72="","",TEXT(M72,"M/D-")) &amp; IF(N72="","",TEXT(N72,"M/D")) &amp; " "</f>
        <v xml:space="preserve">디퓨저 알람 2/20-2/28 </v>
      </c>
      <c r="DZ72" s="207" t="str">
        <f>TEXT(AB72,"#0.00%") &amp; " "</f>
        <v xml:space="preserve">0.00% </v>
      </c>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1144</v>
      </c>
      <c r="E73" s="148"/>
      <c r="F73" s="148"/>
      <c r="G73" s="148"/>
      <c r="H73" s="148"/>
      <c r="I73" s="184"/>
      <c r="J73" s="184" t="s">
        <v>1087</v>
      </c>
      <c r="K73" s="148"/>
      <c r="L73" s="148"/>
      <c r="M73" s="126">
        <v>43548</v>
      </c>
      <c r="N73" s="126">
        <v>43559</v>
      </c>
      <c r="O73" s="148"/>
      <c r="P73" s="149">
        <v>12</v>
      </c>
      <c r="Q73" s="149">
        <v>0</v>
      </c>
      <c r="R73" s="150">
        <f ca="1">IF(M73="","0",(N73-M73+1)-COUNTIFS(INDIRECT(getCalendarRange(O73)),"&gt;=" &amp; M73,INDIRECT(getCalendarRange(O73)),"&lt;=" &amp; N73))</f>
        <v>12</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1108</v>
      </c>
      <c r="Z73" s="154"/>
      <c r="AA73" s="155">
        <v>0</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t="str">
        <f>J73 &amp; " " &amp; IF(M73="","",TEXT(M73,"M/D-")) &amp; IF(N73="","",TEXT(N73,"M/D")) &amp; " "</f>
        <v xml:space="preserve">chatbot 3/24-4/4 </v>
      </c>
      <c r="FF73" s="207" t="str">
        <f>TEXT(AB73,"#0.00%") &amp; " "</f>
        <v xml:space="preserve">0.00% </v>
      </c>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1161</v>
      </c>
      <c r="E74" s="148"/>
      <c r="F74" s="148"/>
      <c r="G74" s="148"/>
      <c r="H74" s="148"/>
      <c r="I74" s="184"/>
      <c r="J74" s="184" t="s">
        <v>1160</v>
      </c>
      <c r="K74" s="148"/>
      <c r="L74" s="148"/>
      <c r="M74" s="126">
        <v>43559</v>
      </c>
      <c r="N74" s="126">
        <v>43579</v>
      </c>
      <c r="O74" s="148"/>
      <c r="P74" s="149">
        <v>21</v>
      </c>
      <c r="Q74" s="149">
        <v>0</v>
      </c>
      <c r="R74" s="150">
        <f ca="1">IF(M74="","0",(N74-M74+1)-COUNTIFS(INDIRECT(getCalendarRange(O74)),"&gt;=" &amp; M74,INDIRECT(getCalendarRange(O74)),"&lt;=" &amp; N74))</f>
        <v>21</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1108</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t="str">
        <f>J74 &amp; " " &amp; IF(M74="","",TEXT(M74,"M/D-")) &amp; IF(N74="","",TEXT(N74,"M/D")) &amp; " "</f>
        <v xml:space="preserve">수정 보완 4/4-4/24 </v>
      </c>
      <c r="FQ74" s="207" t="str">
        <f>TEXT(AB74,"#0.00%") &amp; " "</f>
        <v xml:space="preserve">0.00% </v>
      </c>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t="s">
        <v>996</v>
      </c>
      <c r="C75" s="147">
        <v>5</v>
      </c>
      <c r="D75" s="157" t="s">
        <v>1177</v>
      </c>
      <c r="E75" s="148"/>
      <c r="F75" s="148"/>
      <c r="G75" s="148"/>
      <c r="H75" s="148"/>
      <c r="I75" s="183" t="s">
        <v>1175</v>
      </c>
      <c r="J75" s="148"/>
      <c r="K75" s="148"/>
      <c r="L75" s="148"/>
      <c r="M75" s="126">
        <v>43497</v>
      </c>
      <c r="N75" s="126">
        <v>43579</v>
      </c>
      <c r="O75" s="148"/>
      <c r="P75" s="149">
        <v>90</v>
      </c>
      <c r="Q75" s="149">
        <v>46</v>
      </c>
      <c r="R75" s="150">
        <f ca="1">IF(M75="","0",(N75-M75+1)-COUNTIFS(INDIRECT(getCalendarRange(O75)),"&gt;=" &amp; M75,INDIRECT(getCalendarRange(O75)),"&lt;=" &amp; N75))</f>
        <v>83</v>
      </c>
      <c r="S75" s="150">
        <f ca="1">IF(M75&gt;TODAY(),0,IF(N75&lt;TODAY(),R75,(TODAY()-M75+1)-COUNTIFS(INDIRECT(getCalendarRange(O75)),"&gt;=" &amp; M75,INDIRECT(getCalendarRange(O75)),"&lt;=" &amp; TODAY())))</f>
        <v>40</v>
      </c>
      <c r="T75" s="126"/>
      <c r="U75" s="126"/>
      <c r="V75" s="151">
        <v>0</v>
      </c>
      <c r="W75" s="152" t="str">
        <f ca="1">IF(U75="","0",IF(T75="","0",(U75-T75+1)-COUNTIFS(INDIRECT(getCalendarRange(O75)),"&gt;=" &amp; T75,INDIRECT(getCalendarRange(O75)),"&lt;=" &amp; U75)))</f>
        <v>0</v>
      </c>
      <c r="X75" s="153"/>
      <c r="Y75" s="184" t="s">
        <v>1176</v>
      </c>
      <c r="Z75" s="154"/>
      <c r="AA75" s="155">
        <v>0.51111111111111107</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t="str">
        <f>I75 &amp; " " &amp; IF(M75="","",TEXT(M75,"M/D-")) &amp; IF(N75="","",TEXT(N75,"M/D")) &amp; " "</f>
        <v xml:space="preserve">서버 환경 구축 2/1-4/24 </v>
      </c>
      <c r="DG75" s="207" t="str">
        <f>TEXT(AB75,"#0.00%") &amp; " "</f>
        <v xml:space="preserve">0.00% </v>
      </c>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1178</v>
      </c>
      <c r="E76" s="148"/>
      <c r="F76" s="148"/>
      <c r="G76" s="148"/>
      <c r="H76" s="148"/>
      <c r="I76" s="184"/>
      <c r="J76" s="184">
        <v>1</v>
      </c>
      <c r="K76" s="148"/>
      <c r="L76" s="148"/>
      <c r="M76" s="126">
        <v>43529</v>
      </c>
      <c r="N76" s="126">
        <v>43539</v>
      </c>
      <c r="O76" s="148"/>
      <c r="P76" s="149">
        <v>11</v>
      </c>
      <c r="Q76" s="149">
        <v>8</v>
      </c>
      <c r="R76" s="150">
        <f ca="1">IF(M76="","0",(N76-M76+1)-COUNTIFS(INDIRECT(getCalendarRange(O76)),"&gt;=" &amp; M76,INDIRECT(getCalendarRange(O76)),"&lt;=" &amp; N76))</f>
        <v>11</v>
      </c>
      <c r="S76" s="150">
        <f ca="1">IF(M76&gt;TODAY(),0,IF(N76&lt;TODAY(),R76,(TODAY()-M76+1)-COUNTIFS(INDIRECT(getCalendarRange(O76)),"&gt;=" &amp; M76,INDIRECT(getCalendarRange(O76)),"&lt;=" &amp; TODAY())))</f>
        <v>8</v>
      </c>
      <c r="T76" s="126"/>
      <c r="U76" s="126"/>
      <c r="V76" s="151"/>
      <c r="W76" s="152" t="str">
        <f ca="1">IF(U76="","0",IF(T76="","0",(U76-T76+1)-COUNTIFS(INDIRECT(getCalendarRange(O76)),"&gt;=" &amp; T76,INDIRECT(getCalendarRange(O76)),"&lt;=" &amp; U76)))</f>
        <v>0</v>
      </c>
      <c r="X76" s="153">
        <v>1</v>
      </c>
      <c r="Y76" s="183" t="s">
        <v>1085</v>
      </c>
      <c r="Z76" s="154"/>
      <c r="AA76" s="155">
        <v>0.72727272727272729</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t="str">
        <f>J76 &amp; " " &amp; IF(M76="","",TEXT(M76,"M/D-")) &amp; IF(N76="","",TEXT(N76,"M/D")) &amp; " "</f>
        <v xml:space="preserve">1 3/5-3/15 </v>
      </c>
      <c r="EM76" s="207" t="str">
        <f>TEXT(AB76,"#0.00%") &amp; " "</f>
        <v xml:space="preserve">0.00% </v>
      </c>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1179</v>
      </c>
      <c r="E77" s="148"/>
      <c r="F77" s="148"/>
      <c r="G77" s="148"/>
      <c r="H77" s="148"/>
      <c r="I77" s="148"/>
      <c r="J77" s="183">
        <v>2</v>
      </c>
      <c r="K77" s="148"/>
      <c r="L77" s="148"/>
      <c r="M77" s="126">
        <v>43529</v>
      </c>
      <c r="N77" s="126">
        <v>43544</v>
      </c>
      <c r="O77" s="148"/>
      <c r="P77" s="149">
        <v>16</v>
      </c>
      <c r="Q77" s="149">
        <v>8</v>
      </c>
      <c r="R77" s="150">
        <f ca="1">IF(M77="","0",(N77-M77+1)-COUNTIFS(INDIRECT(getCalendarRange(O77)),"&gt;=" &amp; M77,INDIRECT(getCalendarRange(O77)),"&lt;=" &amp; N77))</f>
        <v>16</v>
      </c>
      <c r="S77" s="150">
        <f ca="1">IF(M77&gt;TODAY(),0,IF(N77&lt;TODAY(),R77,(TODAY()-M77+1)-COUNTIFS(INDIRECT(getCalendarRange(O77)),"&gt;=" &amp; M77,INDIRECT(getCalendarRange(O77)),"&lt;=" &amp; TODAY())))</f>
        <v>8</v>
      </c>
      <c r="T77" s="126"/>
      <c r="U77" s="126"/>
      <c r="V77" s="151"/>
      <c r="W77" s="152" t="str">
        <f ca="1">IF(U77="","0",IF(T77="","0",(U77-T77+1)-COUNTIFS(INDIRECT(getCalendarRange(O77)),"&gt;=" &amp; T77,INDIRECT(getCalendarRange(O77)),"&lt;=" &amp; U77)))</f>
        <v>0</v>
      </c>
      <c r="X77" s="153">
        <v>1</v>
      </c>
      <c r="Y77" s="183" t="s">
        <v>1085</v>
      </c>
      <c r="Z77" s="154"/>
      <c r="AA77" s="155">
        <v>0.5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2 3/5-3/20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1180</v>
      </c>
      <c r="E78" s="148"/>
      <c r="F78" s="148"/>
      <c r="G78" s="148"/>
      <c r="H78" s="148"/>
      <c r="I78" s="184"/>
      <c r="J78" s="184">
        <v>3</v>
      </c>
      <c r="K78" s="148"/>
      <c r="L78" s="148"/>
      <c r="M78" s="126">
        <v>43497</v>
      </c>
      <c r="N78" s="126">
        <v>43506</v>
      </c>
      <c r="O78" s="148"/>
      <c r="P78" s="149">
        <v>10</v>
      </c>
      <c r="Q78" s="149">
        <v>10</v>
      </c>
      <c r="R78" s="150">
        <f ca="1">IF(M78="","0",(N78-M78+1)-COUNTIFS(INDIRECT(getCalendarRange(O78)),"&gt;=" &amp; M78,INDIRECT(getCalendarRange(O78)),"&lt;=" &amp; N78))</f>
        <v>10</v>
      </c>
      <c r="S78" s="150">
        <f ca="1">IF(M78&gt;TODAY(),0,IF(N78&lt;TODAY(),R78,(TODAY()-M78+1)-COUNTIFS(INDIRECT(getCalendarRange(O78)),"&gt;=" &amp; M78,INDIRECT(getCalendarRange(O78)),"&lt;=" &amp; TODAY())))</f>
        <v>10</v>
      </c>
      <c r="T78" s="126"/>
      <c r="U78" s="126"/>
      <c r="V78" s="151"/>
      <c r="W78" s="152" t="str">
        <f ca="1">IF(U78="","0",IF(T78="","0",(U78-T78+1)-COUNTIFS(INDIRECT(getCalendarRange(O78)),"&gt;=" &amp; T78,INDIRECT(getCalendarRange(O78)),"&lt;=" &amp; U78)))</f>
        <v>0</v>
      </c>
      <c r="X78" s="153">
        <v>1</v>
      </c>
      <c r="Y78" s="183" t="s">
        <v>1085</v>
      </c>
      <c r="Z78" s="154"/>
      <c r="AA78" s="155">
        <v>1</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t="str">
        <f>J78 &amp; " " &amp; IF(M78="","",TEXT(M78,"M/D-")) &amp; IF(N78="","",TEXT(N78,"M/D")) &amp; " "</f>
        <v xml:space="preserve">3 2/1-2/10 </v>
      </c>
      <c r="DG78" s="207" t="str">
        <f>TEXT(AB78,"#0.00%") &amp; " "</f>
        <v xml:space="preserve">0.00% </v>
      </c>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1181</v>
      </c>
      <c r="E79" s="148"/>
      <c r="F79" s="148"/>
      <c r="G79" s="148"/>
      <c r="H79" s="148"/>
      <c r="I79" s="184"/>
      <c r="J79" s="184">
        <v>4</v>
      </c>
      <c r="K79" s="148"/>
      <c r="L79" s="148"/>
      <c r="M79" s="126">
        <v>43506</v>
      </c>
      <c r="N79" s="126">
        <v>43516</v>
      </c>
      <c r="O79" s="148"/>
      <c r="P79" s="149">
        <v>11</v>
      </c>
      <c r="Q79" s="149">
        <v>11</v>
      </c>
      <c r="R79" s="150">
        <f ca="1">IF(M79="","0",(N79-M79+1)-COUNTIFS(INDIRECT(getCalendarRange(O79)),"&gt;=" &amp; M79,INDIRECT(getCalendarRange(O79)),"&lt;=" &amp; N79))</f>
        <v>11</v>
      </c>
      <c r="S79" s="150">
        <f ca="1">IF(M79&gt;TODAY(),0,IF(N79&lt;TODAY(),R79,(TODAY()-M79+1)-COUNTIFS(INDIRECT(getCalendarRange(O79)),"&gt;=" &amp; M79,INDIRECT(getCalendarRange(O79)),"&lt;=" &amp; TODAY())))</f>
        <v>11</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t="str">
        <f>J79 &amp; " " &amp; IF(M79="","",TEXT(M79,"M/D-")) &amp; IF(N79="","",TEXT(N79,"M/D")) &amp; " "</f>
        <v xml:space="preserve">4 2/10-2/20 </v>
      </c>
      <c r="DP79" s="207" t="str">
        <f>TEXT(AB79,"#0.00%") &amp; " "</f>
        <v xml:space="preserve">0.00% </v>
      </c>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1182</v>
      </c>
      <c r="E80" s="148"/>
      <c r="F80" s="148"/>
      <c r="G80" s="148"/>
      <c r="H80" s="148"/>
      <c r="I80" s="184"/>
      <c r="J80" s="184">
        <v>5</v>
      </c>
      <c r="K80" s="148"/>
      <c r="L80" s="148"/>
      <c r="M80" s="126">
        <v>43516</v>
      </c>
      <c r="N80" s="126">
        <v>43524</v>
      </c>
      <c r="O80" s="148"/>
      <c r="P80" s="149">
        <v>9</v>
      </c>
      <c r="Q80" s="149">
        <v>9</v>
      </c>
      <c r="R80" s="150">
        <f ca="1">IF(M80="","0",(N80-M80+1)-COUNTIFS(INDIRECT(getCalendarRange(O80)),"&gt;=" &amp; M80,INDIRECT(getCalendarRange(O80)),"&lt;=" &amp; N80))</f>
        <v>9</v>
      </c>
      <c r="S80" s="150">
        <f ca="1">IF(M80&gt;TODAY(),0,IF(N80&lt;TODAY(),R80,(TODAY()-M80+1)-COUNTIFS(INDIRECT(getCalendarRange(O80)),"&gt;=" &amp; M80,INDIRECT(getCalendarRange(O80)),"&lt;=" &amp; TODAY())))</f>
        <v>9</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t="str">
        <f>J80 &amp; " " &amp; IF(M80="","",TEXT(M80,"M/D-")) &amp; IF(N80="","",TEXT(N80,"M/D")) &amp; " "</f>
        <v xml:space="preserve">5 2/20-2/28 </v>
      </c>
      <c r="DZ80" s="207" t="str">
        <f>TEXT(AB80,"#0.00%") &amp; " "</f>
        <v xml:space="preserve">0.00% </v>
      </c>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1183</v>
      </c>
      <c r="E81" s="148"/>
      <c r="F81" s="148"/>
      <c r="G81" s="148"/>
      <c r="H81" s="148"/>
      <c r="I81" s="184"/>
      <c r="J81" s="184">
        <v>6</v>
      </c>
      <c r="K81" s="148"/>
      <c r="L81" s="148"/>
      <c r="M81" s="126">
        <v>43548</v>
      </c>
      <c r="N81" s="126">
        <v>43559</v>
      </c>
      <c r="O81" s="148"/>
      <c r="P81" s="149">
        <v>12</v>
      </c>
      <c r="Q81" s="149">
        <v>0</v>
      </c>
      <c r="R81" s="150">
        <f ca="1">IF(M81="","0",(N81-M81+1)-COUNTIFS(INDIRECT(getCalendarRange(O81)),"&gt;=" &amp; M81,INDIRECT(getCalendarRange(O81)),"&lt;=" &amp; N81))</f>
        <v>12</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1085</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t="str">
        <f>J81 &amp; " " &amp; IF(M81="","",TEXT(M81,"M/D-")) &amp; IF(N81="","",TEXT(N81,"M/D")) &amp; " "</f>
        <v xml:space="preserve">6 3/24-4/4 </v>
      </c>
      <c r="FF81" s="207" t="str">
        <f>TEXT(AB81,"#0.00%") &amp; " "</f>
        <v xml:space="preserve">0.00% </v>
      </c>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1184</v>
      </c>
      <c r="E82" s="148"/>
      <c r="F82" s="148"/>
      <c r="G82" s="148"/>
      <c r="H82" s="148"/>
      <c r="I82" s="184"/>
      <c r="J82" s="184">
        <v>7</v>
      </c>
      <c r="K82" s="148"/>
      <c r="L82" s="148"/>
      <c r="M82" s="126">
        <v>43559</v>
      </c>
      <c r="N82" s="126">
        <v>43579</v>
      </c>
      <c r="O82" s="148"/>
      <c r="P82" s="149">
        <v>21</v>
      </c>
      <c r="Q82" s="149">
        <v>0</v>
      </c>
      <c r="R82" s="150">
        <f ca="1">IF(M82="","0",(N82-M82+1)-COUNTIFS(INDIRECT(getCalendarRange(O82)),"&gt;=" &amp; M82,INDIRECT(getCalendarRange(O82)),"&lt;=" &amp; N82))</f>
        <v>21</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t="str">
        <f>J82 &amp; " " &amp; IF(M82="","",TEXT(M82,"M/D-")) &amp; IF(N82="","",TEXT(N82,"M/D")) &amp; " "</f>
        <v xml:space="preserve">7 4/4-4/24 </v>
      </c>
      <c r="FQ82" s="207" t="str">
        <f>TEXT(AB82,"#0.00%") &amp; " "</f>
        <v xml:space="preserve">0.00% </v>
      </c>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1104</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1104</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1083</v>
      </c>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1085</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1083</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1104</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5">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2">
    <cfRule type="expression" dxfId="5" priority="6" stopIfTrue="1">
      <formula>COUNTIF(STD_CAL,AC$4)&gt;0</formula>
    </cfRule>
    <cfRule type="expression" dxfId="4" priority="5" stopIfTrue="1">
      <formula>AND(AC$4&gt;= $M5,AC$4&lt;=$N5)</formula>
    </cfRule>
    <cfRule type="expression" dxfId="3" priority="4">
      <formula>AND(AC$4&gt;= $M5,AC$4&lt;=$N5, $B5="G")</formula>
    </cfRule>
    <cfRule type="expression" dxfId="2" priority="3">
      <formula>AC$4=TODAY()</formula>
    </cfRule>
  </conditionalFormatting>
  <conditionalFormatting sqref="D5:AB92">
    <cfRule type="expression" dxfId="0"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554687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6.950000000000003" customHeight="1">
      <c r="A1" s="115" t="s">
        <v>1069</v>
      </c>
      <c r="B1" s="116"/>
      <c r="C1" s="116"/>
      <c r="D1" s="116"/>
      <c r="E1" s="116"/>
      <c r="F1" s="116"/>
      <c r="G1" s="116"/>
      <c r="H1" s="116"/>
      <c r="I1" s="116"/>
      <c r="J1" s="116"/>
      <c r="K1" s="116"/>
      <c r="L1" s="235"/>
      <c r="M1" s="236"/>
      <c r="N1" s="236"/>
      <c r="O1" s="87"/>
      <c r="P1" s="87"/>
      <c r="Q1" s="87"/>
    </row>
    <row r="2" spans="1:17" s="41" customFormat="1" ht="12.75">
      <c r="A2" s="124" t="s">
        <v>1017</v>
      </c>
      <c r="B2" s="40"/>
    </row>
    <row r="3" spans="1:17" s="41" customFormat="1" ht="12.75">
      <c r="A3" s="124" t="s">
        <v>1018</v>
      </c>
      <c r="B3" s="40"/>
    </row>
    <row r="4" spans="1:17" s="41" customFormat="1" ht="12.75">
      <c r="A4" s="237"/>
      <c r="B4" s="237"/>
      <c r="C4" s="42"/>
      <c r="D4" s="43"/>
      <c r="E4" s="43"/>
      <c r="F4" s="43"/>
    </row>
    <row r="5" spans="1:17" s="47" customFormat="1" ht="12.75">
      <c r="A5" s="44"/>
      <c r="B5" s="45"/>
      <c r="C5" s="46"/>
      <c r="D5" s="93"/>
      <c r="E5" s="94"/>
      <c r="F5" s="94"/>
      <c r="G5" s="94"/>
    </row>
    <row r="6" spans="1:17" s="47" customFormat="1" ht="12.75">
      <c r="A6" s="48" t="s">
        <v>1019</v>
      </c>
      <c r="B6" s="49">
        <v>771</v>
      </c>
      <c r="C6" s="47" t="s">
        <v>187</v>
      </c>
      <c r="D6" s="234" t="s">
        <v>1020</v>
      </c>
      <c r="E6" s="234"/>
      <c r="F6" s="234"/>
      <c r="G6" s="234"/>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3" t="s">
        <v>1022</v>
      </c>
      <c r="E9" s="233"/>
      <c r="F9" s="233"/>
      <c r="G9" s="233"/>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1081</v>
      </c>
      <c r="E12" s="233"/>
      <c r="F12" s="233"/>
      <c r="G12" s="233"/>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3" t="s">
        <v>1026</v>
      </c>
      <c r="E18" s="233"/>
      <c r="F18" s="233"/>
      <c r="G18" s="233"/>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3" t="s">
        <v>1028</v>
      </c>
      <c r="E21" s="233"/>
      <c r="F21" s="233"/>
      <c r="G21" s="233"/>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4" t="s">
        <v>1030</v>
      </c>
      <c r="E24" s="234"/>
      <c r="F24" s="234"/>
      <c r="G24" s="234"/>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2"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RowHeight="15"/>
  <cols>
    <col min="1" max="1" width="1.77734375" style="181" customWidth="1"/>
    <col min="2" max="4" width="8.88671875" style="181"/>
    <col min="5" max="5" width="10.77734375" style="181" customWidth="1"/>
    <col min="6" max="16384" width="8.88671875" style="181"/>
  </cols>
  <sheetData>
    <row r="1" spans="2:6" ht="36.950000000000003" customHeight="1">
      <c r="B1" s="114" t="s">
        <v>1131</v>
      </c>
    </row>
    <row r="2" spans="2:6">
      <c r="B2" s="181" t="s">
        <v>1132</v>
      </c>
    </row>
    <row r="3" spans="2:6">
      <c r="B3" s="181" t="s">
        <v>1133</v>
      </c>
    </row>
    <row r="6" spans="2:6" ht="30">
      <c r="B6" s="113" t="s">
        <v>421</v>
      </c>
      <c r="C6" s="133" t="s">
        <v>369</v>
      </c>
      <c r="D6" s="133" t="s">
        <v>139</v>
      </c>
      <c r="E6" s="133" t="s">
        <v>1134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5546875" style="117" customWidth="1"/>
    <col min="6" max="6" width="8.88671875" style="117"/>
    <col min="7" max="7" width="21.554687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6.950000000000003"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1128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1129</v>
      </c>
      <c r="D5" s="108">
        <v>43461</v>
      </c>
      <c r="E5" s="112">
        <v>43479</v>
      </c>
      <c r="F5" s="108">
        <v>43460</v>
      </c>
      <c r="G5" s="108">
        <v>43463</v>
      </c>
      <c r="H5" s="106">
        <v>0.75</v>
      </c>
    </row>
    <row r="6" spans="1:8">
      <c r="A6" s="110" t="s">
        <v>958</v>
      </c>
      <c r="B6" s="109" t="s">
        <v>829</v>
      </c>
      <c r="C6" s="108" t="s">
        <v>1130</v>
      </c>
      <c r="D6" s="108">
        <v>43461</v>
      </c>
      <c r="E6" s="112">
        <v>43479</v>
      </c>
      <c r="F6" s="108">
        <v>43460</v>
      </c>
      <c r="G6" s="108">
        <v>43463</v>
      </c>
      <c r="H6" s="106">
        <v>0.75</v>
      </c>
    </row>
    <row r="7" spans="1:8">
      <c r="A7" s="110" t="s">
        <v>958</v>
      </c>
      <c r="B7" s="109" t="s">
        <v>829</v>
      </c>
      <c r="C7" s="108" t="s">
        <v>1128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1129</v>
      </c>
      <c r="D9" s="108">
        <v>43461</v>
      </c>
      <c r="E9" s="112">
        <v>43479</v>
      </c>
      <c r="F9" s="108">
        <v>43464</v>
      </c>
      <c r="G9" s="108">
        <v>43470</v>
      </c>
      <c r="H9" s="106">
        <v>1.75</v>
      </c>
    </row>
    <row r="10" spans="1:8">
      <c r="A10" s="110" t="s">
        <v>958</v>
      </c>
      <c r="B10" s="109" t="s">
        <v>829</v>
      </c>
      <c r="C10" s="108" t="s">
        <v>1130</v>
      </c>
      <c r="D10" s="108">
        <v>43461</v>
      </c>
      <c r="E10" s="112">
        <v>43479</v>
      </c>
      <c r="F10" s="108">
        <v>43464</v>
      </c>
      <c r="G10" s="108">
        <v>43470</v>
      </c>
      <c r="H10" s="106">
        <v>1.75</v>
      </c>
    </row>
    <row r="11" spans="1:8">
      <c r="A11" s="110" t="s">
        <v>958</v>
      </c>
      <c r="B11" s="109" t="s">
        <v>829</v>
      </c>
      <c r="C11" s="108" t="s">
        <v>1128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1129</v>
      </c>
      <c r="D13" s="108">
        <v>43461</v>
      </c>
      <c r="E13" s="112">
        <v>43479</v>
      </c>
      <c r="F13" s="108">
        <v>43471</v>
      </c>
      <c r="G13" s="108">
        <v>43477</v>
      </c>
      <c r="H13" s="106">
        <v>1.75</v>
      </c>
    </row>
    <row r="14" spans="1:8">
      <c r="A14" s="110" t="s">
        <v>958</v>
      </c>
      <c r="B14" s="109" t="s">
        <v>829</v>
      </c>
      <c r="C14" s="108" t="s">
        <v>1130</v>
      </c>
      <c r="D14" s="108">
        <v>43461</v>
      </c>
      <c r="E14" s="112">
        <v>43479</v>
      </c>
      <c r="F14" s="108">
        <v>43471</v>
      </c>
      <c r="G14" s="108">
        <v>43477</v>
      </c>
      <c r="H14" s="106">
        <v>1.75</v>
      </c>
    </row>
    <row r="15" spans="1:8">
      <c r="A15" s="110" t="s">
        <v>958</v>
      </c>
      <c r="B15" s="109" t="s">
        <v>829</v>
      </c>
      <c r="C15" s="108" t="s">
        <v>1128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1129</v>
      </c>
      <c r="D17" s="108">
        <v>43461</v>
      </c>
      <c r="E17" s="112">
        <v>43479</v>
      </c>
      <c r="F17" s="108">
        <v>43478</v>
      </c>
      <c r="G17" s="108">
        <v>43484</v>
      </c>
      <c r="H17" s="106">
        <v>0.5</v>
      </c>
    </row>
    <row r="18" spans="1:8">
      <c r="A18" s="110" t="s">
        <v>958</v>
      </c>
      <c r="B18" s="109" t="s">
        <v>829</v>
      </c>
      <c r="C18" s="108" t="s">
        <v>1130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1128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1129</v>
      </c>
      <c r="D22" s="108">
        <v>43516</v>
      </c>
      <c r="E22" s="112">
        <v>43518</v>
      </c>
      <c r="F22" s="108">
        <v>43513</v>
      </c>
      <c r="G22" s="108">
        <v>43519</v>
      </c>
      <c r="H22" s="106">
        <v>0.75</v>
      </c>
    </row>
    <row r="23" spans="1:8">
      <c r="A23" s="110" t="s">
        <v>960</v>
      </c>
      <c r="B23" s="109" t="s">
        <v>924</v>
      </c>
      <c r="C23" s="108" t="s">
        <v>1130</v>
      </c>
      <c r="D23" s="108">
        <v>43516</v>
      </c>
      <c r="E23" s="112">
        <v>43518</v>
      </c>
      <c r="F23" s="108">
        <v>43513</v>
      </c>
      <c r="G23" s="108">
        <v>43519</v>
      </c>
      <c r="H23" s="106">
        <v>0.75</v>
      </c>
    </row>
    <row r="24" spans="1:8">
      <c r="A24" s="110" t="s">
        <v>961</v>
      </c>
      <c r="B24" s="109" t="s">
        <v>925</v>
      </c>
      <c r="C24" s="108" t="s">
        <v>1128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1129</v>
      </c>
      <c r="D26" s="108">
        <v>43577</v>
      </c>
      <c r="E26" s="112">
        <v>43579</v>
      </c>
      <c r="F26" s="108">
        <v>43576</v>
      </c>
      <c r="G26" s="108">
        <v>43582</v>
      </c>
      <c r="H26" s="106">
        <v>0.75</v>
      </c>
    </row>
    <row r="27" spans="1:8">
      <c r="A27" s="110" t="s">
        <v>961</v>
      </c>
      <c r="B27" s="109" t="s">
        <v>925</v>
      </c>
      <c r="C27" s="108" t="s">
        <v>1130</v>
      </c>
      <c r="D27" s="108">
        <v>43577</v>
      </c>
      <c r="E27" s="112">
        <v>43579</v>
      </c>
      <c r="F27" s="108">
        <v>43576</v>
      </c>
      <c r="G27" s="108">
        <v>43582</v>
      </c>
      <c r="H27" s="106">
        <v>0.75</v>
      </c>
    </row>
    <row r="28" spans="1:8">
      <c r="A28" s="110" t="s">
        <v>962</v>
      </c>
      <c r="B28" s="109" t="s">
        <v>926</v>
      </c>
      <c r="C28" s="108" t="s">
        <v>1128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1129</v>
      </c>
      <c r="D30" s="108">
        <v>43544</v>
      </c>
      <c r="E30" s="112">
        <v>43546</v>
      </c>
      <c r="F30" s="108">
        <v>43541</v>
      </c>
      <c r="G30" s="108">
        <v>43547</v>
      </c>
      <c r="H30" s="106">
        <v>0.75</v>
      </c>
    </row>
    <row r="31" spans="1:8">
      <c r="A31" s="110" t="s">
        <v>962</v>
      </c>
      <c r="B31" s="109" t="s">
        <v>926</v>
      </c>
      <c r="C31" s="108" t="s">
        <v>1130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1129</v>
      </c>
      <c r="D54" s="108">
        <v>43480</v>
      </c>
      <c r="E54" s="112">
        <v>43496</v>
      </c>
      <c r="F54" s="108">
        <v>43478</v>
      </c>
      <c r="G54" s="108">
        <v>43484</v>
      </c>
      <c r="H54" s="106">
        <v>2.5</v>
      </c>
    </row>
    <row r="55" spans="1:8">
      <c r="A55" s="110" t="s">
        <v>969</v>
      </c>
      <c r="B55" s="109" t="s">
        <v>937</v>
      </c>
      <c r="C55" s="108" t="s">
        <v>1130</v>
      </c>
      <c r="D55" s="108">
        <v>43480</v>
      </c>
      <c r="E55" s="112">
        <v>43496</v>
      </c>
      <c r="F55" s="108">
        <v>43478</v>
      </c>
      <c r="G55" s="108">
        <v>43484</v>
      </c>
      <c r="H55" s="106">
        <v>2.5</v>
      </c>
    </row>
    <row r="56" spans="1:8">
      <c r="A56" s="110" t="s">
        <v>969</v>
      </c>
      <c r="B56" s="109" t="s">
        <v>937</v>
      </c>
      <c r="C56" s="108" t="s">
        <v>1129</v>
      </c>
      <c r="D56" s="108">
        <v>43480</v>
      </c>
      <c r="E56" s="112">
        <v>43496</v>
      </c>
      <c r="F56" s="108">
        <v>43485</v>
      </c>
      <c r="G56" s="108">
        <v>43491</v>
      </c>
      <c r="H56" s="106">
        <v>3.5</v>
      </c>
    </row>
    <row r="57" spans="1:8">
      <c r="A57" s="110" t="s">
        <v>969</v>
      </c>
      <c r="B57" s="109" t="s">
        <v>937</v>
      </c>
      <c r="C57" s="108" t="s">
        <v>1130</v>
      </c>
      <c r="D57" s="108">
        <v>43480</v>
      </c>
      <c r="E57" s="112">
        <v>43496</v>
      </c>
      <c r="F57" s="108">
        <v>43485</v>
      </c>
      <c r="G57" s="108">
        <v>43491</v>
      </c>
      <c r="H57" s="106">
        <v>3.5</v>
      </c>
    </row>
    <row r="58" spans="1:8">
      <c r="A58" s="110" t="s">
        <v>969</v>
      </c>
      <c r="B58" s="109" t="s">
        <v>937</v>
      </c>
      <c r="C58" s="108" t="s">
        <v>1129</v>
      </c>
      <c r="D58" s="108">
        <v>43480</v>
      </c>
      <c r="E58" s="112">
        <v>43496</v>
      </c>
      <c r="F58" s="108">
        <v>43492</v>
      </c>
      <c r="G58" s="108">
        <v>43498</v>
      </c>
      <c r="H58" s="106">
        <v>2.5</v>
      </c>
    </row>
    <row r="59" spans="1:8">
      <c r="A59" s="110" t="s">
        <v>969</v>
      </c>
      <c r="B59" s="109" t="s">
        <v>937</v>
      </c>
      <c r="C59" s="108" t="s">
        <v>1130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1129</v>
      </c>
      <c r="D72" s="108">
        <v>43496</v>
      </c>
      <c r="E72" s="112">
        <v>43501</v>
      </c>
      <c r="F72" s="108">
        <v>43492</v>
      </c>
      <c r="G72" s="108">
        <v>43498</v>
      </c>
      <c r="H72" s="106">
        <v>0.6</v>
      </c>
    </row>
    <row r="73" spans="1:8">
      <c r="A73" s="110" t="s">
        <v>973</v>
      </c>
      <c r="B73" s="109" t="s">
        <v>943</v>
      </c>
      <c r="C73" s="108" t="s">
        <v>1130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1129</v>
      </c>
      <c r="D77" s="108">
        <v>43496</v>
      </c>
      <c r="E77" s="112">
        <v>43501</v>
      </c>
      <c r="F77" s="108">
        <v>43499</v>
      </c>
      <c r="G77" s="108">
        <v>43505</v>
      </c>
      <c r="H77" s="106">
        <v>0.6</v>
      </c>
    </row>
    <row r="78" spans="1:8">
      <c r="A78" s="110" t="s">
        <v>973</v>
      </c>
      <c r="B78" s="109" t="s">
        <v>943</v>
      </c>
      <c r="C78" s="108" t="s">
        <v>1130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1129</v>
      </c>
      <c r="D82" s="108">
        <v>43501</v>
      </c>
      <c r="E82" s="112">
        <v>43502</v>
      </c>
      <c r="F82" s="108">
        <v>43499</v>
      </c>
      <c r="G82" s="108">
        <v>43505</v>
      </c>
      <c r="H82" s="106">
        <v>0.4</v>
      </c>
    </row>
    <row r="83" spans="1:8">
      <c r="A83" s="110" t="s">
        <v>974</v>
      </c>
      <c r="B83" s="109" t="s">
        <v>946</v>
      </c>
      <c r="C83" s="108" t="s">
        <v>1130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5546875" style="2" bestFit="1" customWidth="1"/>
    <col min="6" max="6" width="29.21875" style="2" bestFit="1" customWidth="1"/>
    <col min="7" max="7" width="27.33203125" style="5" customWidth="1"/>
    <col min="8" max="8" width="23.5546875" style="5" bestFit="1" customWidth="1"/>
    <col min="9" max="9" width="21.109375" style="5" bestFit="1" customWidth="1"/>
    <col min="10" max="10" width="24.5546875" style="5" bestFit="1" customWidth="1"/>
    <col min="11" max="11" width="5.77734375" style="5" bestFit="1" customWidth="1"/>
    <col min="12" max="12" width="17.88671875" style="5" bestFit="1" customWidth="1"/>
    <col min="13" max="13" width="14.554687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5546875" style="89" bestFit="1" customWidth="1"/>
    <col min="3" max="3" width="13.5546875" style="89" bestFit="1" customWidth="1"/>
    <col min="4" max="4" width="52.554687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2019-03-12T00:41:32Z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