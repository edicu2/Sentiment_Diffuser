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51196F13-6AD0-C1B8-E2B4-A1F9AE17003E}"/>
  <workbookPr codeName="현재_통합_문서"/>
  <mc:AlternateContent xmlns:mc="http://schemas.openxmlformats.org/markup-compatibility/2006">
    <mc:Choice Requires="x15">
      <x15ac:absPath xmlns:x15ac="http://schemas.microsoft.com/office/spreadsheetml/2010/11/ac" url="C:\Users\UX410UF\Documents\GitHub\Sentiment_diffuser\documents\5. diffuser_간트차트\"/>
    </mc:Choice>
  </mc:AlternateContent>
  <xr:revisionPtr revIDLastSave="0" documentId="13_ncr:1_{F0A5355E-F717-49EF-9B26-2BE69E127DF2}"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7" i="1"/>
  <c r="DF57" i="1"/>
  <c r="DG57" i="1"/>
  <c r="W58" i="1"/>
  <c r="DF58" i="1"/>
  <c r="DG58" i="1"/>
  <c r="S59" i="1"/>
  <c r="W59" i="1"/>
  <c r="FE59" i="1"/>
  <c r="FF59" i="1"/>
  <c r="W60" i="1"/>
  <c r="DL60" i="1"/>
  <c r="DM60" i="1"/>
  <c r="W61" i="1"/>
  <c r="DL61" i="1"/>
  <c r="DM61" i="1"/>
  <c r="W62" i="1"/>
  <c r="DS62" i="1"/>
  <c r="DT62" i="1"/>
  <c r="W63" i="1"/>
  <c r="DZ63" i="1"/>
  <c r="EA63" i="1"/>
  <c r="W64" i="1"/>
  <c r="EG64" i="1"/>
  <c r="EH64" i="1"/>
  <c r="S65" i="1"/>
  <c r="W65" i="1"/>
  <c r="EU65" i="1"/>
  <c r="EV65" i="1"/>
  <c r="S66" i="1"/>
  <c r="W66" i="1"/>
  <c r="FK66" i="1"/>
  <c r="FL66" i="1"/>
  <c r="W67" i="1"/>
  <c r="DF67" i="1"/>
  <c r="DG67" i="1"/>
  <c r="W68" i="1"/>
  <c r="EL68" i="1"/>
  <c r="EM68" i="1"/>
  <c r="W69" i="1"/>
  <c r="EL69" i="1"/>
  <c r="EM69" i="1"/>
  <c r="W70" i="1"/>
  <c r="DF70" i="1"/>
  <c r="DG70" i="1"/>
  <c r="W71" i="1"/>
  <c r="DO71" i="1"/>
  <c r="DP71" i="1"/>
  <c r="W72" i="1"/>
  <c r="DY72" i="1"/>
  <c r="DZ72" i="1"/>
  <c r="S73" i="1"/>
  <c r="W73" i="1"/>
  <c r="FE73" i="1"/>
  <c r="FF73" i="1"/>
  <c r="S74" i="1"/>
  <c r="W74" i="1"/>
  <c r="FP74" i="1"/>
  <c r="FQ74" i="1"/>
  <c r="W75" i="1"/>
  <c r="DF75" i="1"/>
  <c r="DG75" i="1"/>
  <c r="W76" i="1"/>
  <c r="EL76" i="1"/>
  <c r="EM76" i="1"/>
  <c r="W77" i="1"/>
  <c r="EL77" i="1"/>
  <c r="EM77" i="1"/>
  <c r="W78" i="1"/>
  <c r="DF78" i="1"/>
  <c r="DG78" i="1"/>
  <c r="W79" i="1"/>
  <c r="DO79" i="1"/>
  <c r="DP79" i="1"/>
  <c r="W80" i="1"/>
  <c r="DY80" i="1"/>
  <c r="DZ80" i="1"/>
  <c r="S81" i="1"/>
  <c r="W81" i="1"/>
  <c r="FE81" i="1"/>
  <c r="FF81" i="1"/>
  <c r="S82" i="1"/>
  <c r="W82" i="1"/>
  <c r="FP82" i="1"/>
  <c r="FQ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77" i="1"/>
  <c r="R80" i="1"/>
  <c r="R39" i="1"/>
  <c r="R84" i="1"/>
  <c r="R42" i="1"/>
  <c r="R25" i="1"/>
  <c r="S11" i="1"/>
  <c r="R9" i="1"/>
  <c r="S5" i="1"/>
  <c r="R67" i="1"/>
  <c r="R32" i="1"/>
  <c r="R86" i="1"/>
  <c r="S69" i="1"/>
  <c r="S76" i="1"/>
  <c r="R60" i="1"/>
  <c r="R75" i="1"/>
  <c r="R22" i="1"/>
  <c r="R49" i="1"/>
  <c r="R30" i="1"/>
  <c r="R65" i="1"/>
  <c r="S47" i="1"/>
  <c r="R82" i="1"/>
  <c r="R17" i="1"/>
  <c r="R79" i="1"/>
  <c r="R55" i="1"/>
  <c r="R36" i="1"/>
  <c r="R76" i="1"/>
  <c r="R37" i="1"/>
  <c r="R35" i="1"/>
  <c r="R15" i="1"/>
  <c r="R19" i="1"/>
  <c r="S40" i="1"/>
  <c r="R91" i="1"/>
  <c r="R64" i="1"/>
  <c r="R31" i="1"/>
  <c r="R68" i="1"/>
  <c r="R45" i="1"/>
  <c r="R70" i="1"/>
  <c r="S37" i="1"/>
  <c r="R48" i="1"/>
  <c r="R10" i="1"/>
  <c r="R50" i="1"/>
  <c r="R58" i="1"/>
  <c r="R52" i="1"/>
  <c r="R46" i="1"/>
  <c r="R73" i="1"/>
  <c r="R87" i="1"/>
  <c r="R88" i="1"/>
  <c r="R51" i="1"/>
  <c r="W7" i="1"/>
  <c r="R11" i="1"/>
  <c r="R83" i="1"/>
  <c r="R89" i="1"/>
  <c r="R29" i="1"/>
  <c r="S54" i="1"/>
  <c r="R66" i="1"/>
  <c r="R56" i="1"/>
  <c r="S67" i="1"/>
  <c r="R61" i="1"/>
  <c r="R63" i="1"/>
  <c r="R57" i="1"/>
  <c r="R71" i="1"/>
  <c r="R72" i="1"/>
  <c r="R81" i="1"/>
  <c r="S64" i="1"/>
  <c r="R27" i="1"/>
  <c r="R69" i="1"/>
  <c r="R44" i="1"/>
  <c r="R40" i="1"/>
  <c r="R85" i="1"/>
  <c r="R41" i="1"/>
  <c r="R33" i="1"/>
  <c r="S21" i="1"/>
  <c r="R59" i="1"/>
  <c r="R23" i="1"/>
  <c r="S55" i="1"/>
  <c r="S56" i="1"/>
  <c r="R28" i="1"/>
  <c r="R43" i="1"/>
  <c r="R8" i="1"/>
  <c r="R14" i="1"/>
  <c r="R21" i="1"/>
  <c r="S36" i="1"/>
  <c r="R74" i="1"/>
  <c r="R92" i="1"/>
  <c r="S75" i="1"/>
  <c r="R62" i="1"/>
  <c r="R12" i="1"/>
  <c r="R47" i="1"/>
  <c r="S39" i="1"/>
  <c r="R34" i="1"/>
  <c r="S77" i="1"/>
  <c r="R53" i="1"/>
  <c r="S43" i="1"/>
  <c r="R6" i="1"/>
  <c r="R18" i="1"/>
  <c r="R38" i="1"/>
  <c r="R5" i="1"/>
  <c r="R26" i="1"/>
  <c r="S68" i="1"/>
  <c r="R54" i="1"/>
  <c r="R20" i="1"/>
  <c r="R13" i="1"/>
  <c r="R7" i="1"/>
  <c r="R90" i="1"/>
  <c r="R78" i="1"/>
  <c r="W9" i="1"/>
  <c r="R24" i="1"/>
  <c r="S57" i="1" l="1"/>
  <c r="S49" i="1"/>
  <c r="S33" i="1"/>
  <c r="S25" i="1"/>
  <c r="S8" i="1"/>
  <c r="S60" i="1"/>
  <c r="S52" i="1"/>
  <c r="S44" i="1"/>
  <c r="S28" i="1"/>
  <c r="S79" i="1"/>
  <c r="S71" i="1"/>
  <c r="S63" i="1"/>
  <c r="S31" i="1"/>
  <c r="S23" i="1"/>
  <c r="S6" i="1"/>
  <c r="S58" i="1"/>
  <c r="S50" i="1"/>
  <c r="S34" i="1"/>
  <c r="S26" i="1"/>
  <c r="S9" i="1"/>
  <c r="S61" i="1"/>
  <c r="S53" i="1"/>
  <c r="S45" i="1"/>
  <c r="S29" i="1"/>
  <c r="S12" i="1"/>
  <c r="S80" i="1"/>
  <c r="S72" i="1"/>
  <c r="S48" i="1"/>
  <c r="S32" i="1"/>
  <c r="S24" i="1"/>
  <c r="S7" i="1"/>
  <c r="S51" i="1"/>
  <c r="S35" i="1"/>
  <c r="S27" i="1"/>
  <c r="S10" i="1"/>
  <c r="S78" i="1"/>
  <c r="S70" i="1"/>
  <c r="S62" i="1"/>
  <c r="S38" i="1"/>
  <c r="S30" i="1"/>
  <c r="S22" i="1"/>
  <c r="S42" i="1"/>
  <c r="S41"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D1" i="1"/>
  <c r="AB2" i="1"/>
  <c r="AB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<sst xmlns="http://schemas.openxmlformats.org/spreadsheetml/2006/main" count="1585" uniqueCount="1186">
  <si>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</si>
  <si>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</si>
  <si>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</si>
  <si>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</si>
  <si>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</si>
  <si>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</si>
  <si>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</si>
  <si>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</si>
  <si>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</si>
  <si>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</si>
  <si>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</si>
  <si>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</si>
  <si>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</si>
  <si>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</si>
  <si>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</si>
  <si>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</si>
  <si>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</si>
  <si>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</si>
  <si>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</si>
  <si>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</si>
  <si>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</si>
  <si>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</si>
  <si>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</si>
  <si>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</si>
  <si>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</si>
  <si>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</si>
  <si>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</si>
  <si>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</si>
  <si>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</si>
  <si>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</si>
  <si>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</si>
  <si>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</si>
  <si>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</si>
  <si>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</si>
  <si>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</si>
  <si>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</si>
  <si>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</si>
  <si>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</si>
  <si>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</si>
  <si>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</si>
  <si>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</si>
  <si>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</si>
  <si>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</si>
  <si>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</si>
  <si>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</si>
  <si>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</si>
  <si>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</si>
  <si>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</si>
  <si>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</si>
  <si>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</si>
  <si>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</si>
  <si>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</si>
  <si>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</si>
  <si>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</si>
  <si>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</si>
  <si>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</si>
  <si>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</si>
  <si>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</si>
  <si>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</si>
  <si>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</si>
  <si>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</si>
  <si>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</si>
  <si>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</si>
  <si>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</si>
  <si>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</si>
  <si>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</si>
  <si>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</si>
  <si>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</si>
  <si>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</si>
  <si>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</si>
  <si>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</si>
  <si>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</si>
  <si>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</si>
  <si>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</si>
  <si>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</si>
  <si>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</si>
  <si>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</si>
  <si>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</si>
  <si>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</si>
  <si>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</si>
  <si>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</si>
  <si>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</si>
  <si>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</si>
  <si>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</si>
  <si>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</si>
  <si>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</si>
  <si>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</si>
  <si>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</si>
  <si>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</si>
  <si>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</si>
  <si>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</si>
  <si>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</si>
  <si>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</si>
  <si>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</si>
  <si>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</si>
  <si>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</si>
  <si>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</si>
  <si>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</si>
  <si>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</si>
  <si>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</si>
  <si>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</si>
  <si>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</si>
  <si>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</si>
  <si>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</si>
  <si>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</si>
  <si>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</si>
  <si>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</si>
  <si>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</si>
  <si>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</si>
  <si>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</si>
  <si>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</si>
  <si>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</si>
  <si>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</si>
  <si>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</si>
  <si>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</si>
  <si>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</si>
  <si>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</si>
  <si>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</si>
  <si>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</si>
  <si>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</si>
  <si>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</si>
  <si>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</si>
  <si>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</si>
  <si>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</si>
  <si>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</si>
  <si>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</si>
  <si>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</si>
  <si>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</si>
  <si>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</si>
  <si>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</si>
  <si>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</si>
  <si>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</si>
  <si>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</si>
  <si>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</si>
  <si>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</si>
  <si>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</si>
  <si>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</si>
  <si>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</si>
  <si>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</si>
  <si>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</si>
  <si>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</si>
  <si>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</si>
  <si>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</si>
  <si>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</si>
  <si>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</si>
  <si>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</si>
  <si>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</si>
  <si>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</si>
  <si>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</si>
  <si>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</si>
  <si>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</si>
  <si>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</si>
  <si>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</si>
  <si>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</si>
  <si>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</si>
  <si>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</si>
  <si>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</si>
  <si>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</si>
  <si>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</si>
  <si>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</si>
  <si>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</si>
  <si>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</si>
  <si>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</si>
  <si>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</si>
  <si>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</si>
  <si>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</si>
  <si>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</si>
  <si>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</si>
  <si>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</si>
  <si>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</si>
  <si>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</si>
  <si>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</si>
  <si>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</si>
  <si>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</si>
  <si>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</si>
  <si>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</si>
  <si>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</si>
  <si>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</si>
  <si>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</si>
  <si>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</si>
  <si>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</si>
  <si>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</si>
  <si>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</si>
  <si>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</si>
  <si>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</si>
  <si>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</si>
  <si>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</si>
  <si>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</si>
  <si>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</si>
  <si>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</si>
  <si>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</si>
  <si>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</si>
  <si>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</si>
  <si>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</si>
  <si>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</si>
  <si>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</si>
  <si>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</si>
  <si>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</si>
  <si>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</si>
  <si>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</si>
  <si>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</si>
  <si>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</si>
  <si>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</si>
  <si>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</si>
  <si>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</si>
  <si>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</si>
  <si>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</si>
  <si>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</si>
  <si>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</si>
  <si>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</si>
  <si>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</si>
  <si>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</si>
  <si>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</si>
  <si>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</si>
  <si>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</si>
  <si>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</si>
  <si>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</si>
  <si>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</si>
  <si>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</si>
  <si>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</si>
  <si>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</si>
  <si>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</si>
  <si>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</si>
  <si>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</si>
  <si>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</si>
  <si>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</si>
  <si>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</si>
  <si>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</si>
  <si>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</si>
  <si>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</si>
  <si>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</si>
  <si>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</si>
  <si>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</si>
  <si>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</si>
  <si>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</si>
  <si>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</si>
  <si>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</si>
  <si>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</si>
  <si>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</si>
  <si>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</si>
  <si>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</si>
  <si>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</si>
  <si>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</si>
  <si>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</si>
  <si>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</si>
  <si>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</si>
  <si>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</si>
  <si>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</si>
  <si>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</si>
  <si>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</si>
  <si>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</si>
  <si>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</si>
  <si>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</si>
  <si>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</si>
  <si>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</si>
  <si>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</si>
  <si>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</si>
  <si>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</si>
  <si>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</si>
  <si>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</si>
  <si>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</si>
  <si>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</si>
  <si>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</si>
  <si>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</si>
  <si>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</si>
  <si>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</si>
  <si>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</si>
  <si>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</si>
  <si>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</si>
  <si>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</si>
  <si>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</si>
  <si>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</si>
  <si>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</si>
  <si>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</si>
  <si>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</si>
  <si>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</si>
  <si>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</si>
  <si>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</si>
  <si>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</si>
  <si>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</si>
  <si>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</si>
  <si>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</si>
  <si>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</si>
  <si>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</si>
  <si>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</si>
  <si>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</si>
  <si>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</si>
  <si>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</si>
  <si>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</si>
  <si>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</si>
  <si>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</si>
  <si>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</si>
  <si>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</si>
  <si>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</si>
  <si>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</si>
  <si>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</si>
  <si>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</si>
  <si>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</si>
  <si>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</si>
  <si>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</si>
  <si>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</si>
  <si>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</si>
  <si>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</si>
  <si>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</si>
  <si>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</si>
  <si>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</si>
  <si>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</si>
  <si>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</si>
  <si>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</si>
  <si>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</si>
  <si>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</si>
  <si>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</si>
  <si>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</si>
  <si>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</si>
  <si>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</si>
  <si>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</si>
  <si>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</si>
  <si>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</si>
  <si>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</si>
  <si>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</si>
  <si>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</si>
  <si>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</si>
  <si>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</si>
  <si>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</si>
  <si>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</si>
  <si>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</si>
  <si>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</si>
  <si>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</si>
  <si>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</si>
  <si>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</si>
  <si>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</si>
  <si>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</si>
  <si>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</si>
  <si>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</si>
  <si>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</si>
  <si>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</si>
  <si>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</si>
  <si>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</si>
  <si>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</si>
  <si>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</si>
  <si>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</si>
  <si>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</si>
  <si>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</si>
  <si>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</si>
  <si>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</si>
  <si>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</si>
  <si>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</si>
  <si>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</si>
  <si>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</si>
  <si>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</si>
  <si>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</si>
  <si>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</si>
  <si>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</si>
  <si>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</si>
  <si>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</si>
  <si>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</si>
  <si>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</si>
  <si>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</si>
  <si>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</si>
  <si>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</si>
  <si>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</si>
  <si>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</si>
  <si>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</si>
  <si>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</si>
  <si>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</si>
  <si>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</si>
  <si>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</si>
  <si>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</si>
  <si>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</si>
  <si>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</si>
  <si>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</si>
  <si>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</si>
  <si>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</si>
  <si>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</si>
  <si>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</si>
  <si>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</si>
  <si>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</si>
  <si>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</si>
  <si>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</si>
  <si>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</si>
  <si>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</si>
  <si>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</si>
  <si>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</si>
  <si>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</si>
  <si>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</si>
  <si>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</si>
  <si>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</si>
  <si>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</si>
  <si>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</si>
  <si>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</si>
  <si>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</si>
  <si>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</si>
  <si>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</si>
  <si>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</si>
  <si>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</si>
  <si>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</si>
  <si>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</si>
  <si>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</si>
  <si>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</si>
  <si>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</si>
  <si>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</si>
  <si>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</si>
  <si>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</si>
  <si>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</si>
  <si>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</si>
  <si>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</si>
  <si>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</si>
  <si>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</si>
  <si>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</si>
  <si>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</si>
  <si>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</si>
  <si>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</si>
  <si>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</si>
  <si>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</si>
  <si>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</si>
  <si>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</si>
  <si>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</si>
  <si>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</si>
  <si>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</si>
  <si>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</si>
  <si>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</si>
  <si>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</si>
  <si>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</si>
  <si>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</si>
  <si>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</si>
  <si>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</si>
  <si>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</si>
  <si>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</si>
  <si>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</si>
  <si>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</si>
  <si>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</si>
  <si>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</si>
  <si>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</si>
  <si>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</si>
  <si>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</si>
  <si>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</si>
  <si>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</si>
  <si>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</si>
  <si>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</si>
  <si>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</si>
  <si>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</si>
  <si>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</si>
  <si>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</si>
  <si>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</si>
  <si>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</si>
  <si>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</si>
  <si>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</si>
  <si>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</si>
  <si>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</si>
  <si>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</si>
  <si>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</si>
  <si>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</si>
  <si>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</si>
  <si>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</si>
  <si>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</si>
  <si>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</si>
  <si>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</si>
  <si>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</si>
  <si>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</si>
  <si>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</si>
  <si>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</si>
  <si>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</si>
  <si>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</si>
  <si>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</si>
  <si>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</si>
  <si>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</si>
  <si>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</si>
  <si>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</si>
  <si>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</si>
  <si>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</si>
  <si>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</si>
  <si>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</si>
  <si>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</si>
  <si>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</si>
  <si>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</si>
  <si>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</si>
  <si>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</si>
  <si>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</si>
  <si>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</si>
  <si>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</si>
  <si>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</si>
  <si>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</si>
  <si>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</si>
  <si>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</si>
  <si>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</si>
  <si>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</si>
  <si>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</si>
  <si>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</si>
  <si>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</si>
  <si>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</si>
  <si>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</si>
  <si>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</si>
  <si>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</si>
  <si>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</si>
  <si>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</si>
  <si>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</si>
  <si>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</si>
  <si>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</si>
  <si>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</si>
  <si>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</si>
  <si>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</si>
  <si>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</si>
  <si>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</si>
  <si>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</si>
  <si>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</si>
  <si>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</si>
  <si>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</si>
  <si>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</si>
  <si>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</si>
  <si>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</si>
  <si>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</si>
  <si>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</si>
  <si>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</si>
  <si>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</si>
  <si>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</si>
  <si>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</si>
  <si>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</si>
  <si>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</si>
  <si>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</si>
  <si>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</si>
  <si>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</si>
  <si>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</si>
  <si>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</si>
  <si>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</si>
  <si>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</si>
  <si>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</si>
  <si>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</si>
  <si>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</si>
  <si>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</si>
  <si>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</si>
  <si>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</si>
  <si>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</si>
  <si>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</si>
  <si>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</si>
  <si>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</si>
  <si>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</si>
  <si>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</si>
  <si>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</si>
  <si>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</si>
  <si>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</si>
  <si>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</si>
  <si>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</si>
  <si>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</si>
  <si>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</si>
  <si>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</si>
  <si>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</si>
  <si>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</si>
  <si>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</si>
  <si>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</si>
  <si>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</si>
  <si>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</si>
  <si>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</si>
  <si>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</si>
  <si>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</si>
  <si>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</si>
  <si>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</si>
  <si>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</si>
  <si>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</si>
  <si>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</si>
  <si>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</si>
  <si>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</si>
  <si>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</si>
  <si>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</si>
  <si>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</si>
  <si>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</si>
  <si>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</si>
  <si>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</si>
  <si>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</si>
  <si>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</si>
  <si>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</si>
  <si>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</si>
  <si>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</si>
  <si>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</si>
  <si>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</si>
  <si>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</si>
  <si>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</si>
  <si>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</si>
  <si>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</si>
  <si>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</si>
  <si>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</si>
  <si>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</si>
  <si>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</si>
  <si>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</si>
  <si>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</si>
  <si>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</si>
  <si>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</si>
  <si>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</si>
  <si>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</si>
  <si>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</si>
  <si>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</si>
  <si>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</si>
  <si>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</si>
  <si>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</si>
  <si>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</si>
  <si>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</si>
  <si>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</si>
  <si>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</si>
  <si>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</si>
  <si>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</si>
  <si>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</si>
  <si>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</si>
  <si>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</si>
  <si>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</si>
  <si>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</si>
  <si>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</si>
  <si>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</si>
  <si>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</si>
  <si>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</si>
  <si>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</si>
  <si>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</si>
  <si>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</si>
  <si>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</si>
  <si>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</si>
  <si>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</si>
  <si>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</si>
  <si>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</si>
  <si>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</si>
  <si>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</si>
  <si>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</si>
  <si>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</si>
  <si>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</si>
  <si>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</si>
  <si>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</si>
  <si>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</si>
  <si>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</si>
  <si>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</si>
  <si>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</si>
  <si>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</si>
  <si>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</si>
  <si>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</si>
  <si>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</si>
  <si>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</si>
  <si>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</si>
  <si>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</si>
  <si>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</si>
  <si>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</si>
  <si>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</si>
  <si>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</si>
  <si>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</si>
  <si>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</si>
  <si>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</si>
  <si>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</si>
  <si>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</si>
  <si>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</si>
  <si>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</si>
  <si>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</si>
  <si>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</si>
  <si>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</si>
  <si>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</si>
  <si>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</si>
  <si>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</si>
  <si>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</si>
  <si>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</si>
  <si>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</si>
  <si>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</si>
  <si>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</si>
  <si>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</si>
  <si>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</si>
  <si>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</si>
  <si>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</si>
  <si>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</si>
  <si>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</si>
  <si>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</si>
  <si>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</si>
  <si>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</si>
  <si>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</si>
  <si>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</si>
  <si>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</si>
  <si>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</si>
  <si>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</si>
  <si>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</si>
  <si>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</si>
  <si>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</si>
  <si>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</si>
  <si>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</si>
  <si>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</si>
  <si>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</si>
  <si>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</si>
  <si>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</si>
  <si>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</si>
  <si>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</si>
  <si>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</si>
  <si>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</si>
  <si>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</si>
  <si>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</si>
  <si>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</si>
  <si>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</si>
  <si>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</si>
  <si>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</si>
  <si>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</si>
  <si>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</si>
  <si>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</si>
  <si>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</si>
  <si>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</si>
  <si>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</si>
  <si>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</si>
  <si>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</si>
  <si>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</si>
  <si>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</si>
  <si>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</si>
  <si>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</si>
  <si>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</si>
  <si>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</si>
  <si>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</si>
  <si>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</si>
  <si>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</si>
  <si>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</si>
  <si>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</si>
  <si>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</si>
  <si>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</si>
  <si>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</si>
  <si>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</si>
  <si>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</si>
  <si>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</si>
  <si>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</si>
  <si>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</si>
  <si>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</si>
  <si>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</si>
  <si>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</si>
  <si>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</si>
  <si>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</si>
  <si>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</si>
  <si>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</si>
  <si>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</si>
  <si>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</si>
  <si>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</si>
  <si>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</si>
  <si>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</si>
  <si>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</si>
  <si>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</si>
  <si>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</si>
  <si>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</si>
  <si>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</si>
  <si>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</si>
  <si>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</si>
  <si>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</si>
  <si>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</si>
  <si>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</si>
  <si>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</si>
  <si>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</si>
  <si>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</si>
  <si>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</si>
  <si>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</si>
  <si>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</si>
  <si>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</si>
  <si>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</si>
  <si>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</si>
  <si>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</si>
  <si>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</si>
  <si>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</si>
  <si>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</si>
  <si>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</si>
  <si>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</si>
  <si>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</si>
  <si>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</si>
  <si>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</si>
  <si>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</si>
  <si>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</si>
  <si>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</si>
  <si>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</si>
  <si>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</si>
  <si>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</si>
  <si>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</si>
  <si>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</si>
  <si>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</si>
  <si>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</si>
  <si>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</si>
  <si>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</si>
  <si>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</si>
  <si>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</si>
  <si>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</si>
  <si>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</si>
  <si>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</si>
  <si>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</si>
  <si>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</si>
  <si>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</si>
  <si>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</si>
  <si>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</si>
  <si>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</si>
  <si>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</si>
  <si>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</si>
  <si>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</si>
  <si>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</si>
  <si>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</si>
  <si>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</si>
  <si>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</si>
  <si>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</si>
  <si>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</si>
  <si>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</si>
  <si>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</si>
  <si>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</si>
  <si>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</si>
  <si>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</si>
  <si>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</si>
  <si>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</si>
  <si>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</si>
  <si>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</si>
  <si>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</si>
  <si>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</si>
  <si>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</si>
  <si>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</si>
  <si>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</si>
  <si>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</si>
  <si>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</si>
  <si>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</si>
  <si>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</si>
  <si>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</si>
  <si>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</si>
  <si>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</si>
  <si>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</si>
  <si>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</si>
  <si>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</si>
  <si>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</si>
  <si>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</si>
  <si>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</si>
  <si>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</si>
  <si>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</si>
  <si>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</si>
  <si>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</si>
  <si>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</si>
  <si>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</si>
  <si>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</si>
  <si>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</si>
  <si>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</si>
  <si>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</si>
  <si>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</si>
  <si>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</si>
  <si>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</si>
  <si>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</si>
  <si>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</si>
  <si>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</si>
  <si>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</si>
  <si>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</si>
  <si>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</si>
  <si>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</si>
  <si>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</si>
  <si>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</si>
  <si>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</si>
  <si>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</si>
  <si>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</si>
  <si>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</si>
  <si>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</si>
  <si>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</si>
  <si>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</si>
  <si>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</si>
  <si>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</si>
  <si>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</si>
  <si>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</si>
  <si>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</si>
  <si>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</si>
  <si>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</si>
  <si>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</si>
  <si>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</si>
  <si>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</si>
  <si>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</si>
  <si>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</si>
  <si>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</si>
  <si>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</si>
  <si>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</si>
  <si>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</si>
  <si>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</si>
  <si>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</si>
  <si>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</si>
  <si>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</si>
  <si>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</si>
  <si>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</si>
  <si>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</si>
  <si>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</si>
  <si>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</si>
  <si>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</si>
  <si>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</si>
  <si>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</si>
  <si>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</si>
  <si>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</si>
  <si>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</si>
  <si>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</si>
  <si>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</si>
  <si>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</si>
  <si>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</si>
  <si>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</si>
  <si>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</si>
  <si>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</si>
  <si>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</si>
  <si>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</si>
  <si>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</si>
  <si>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</si>
  <si>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</si>
  <si>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</si>
  <si>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</si>
  <si>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</si>
  <si>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</si>
  <si>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</si>
  <si>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</si>
  <si>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</si>
  <si>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</si>
  <si>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</si>
  <si>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</si>
  <si>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</si>
  <si>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</si>
  <si>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</si>
  <si>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</si>
  <si>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</si>
  <si>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</si>
  <si>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</si>
  <si>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</si>
  <si>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</si>
  <si>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</si>
  <si>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</si>
  <si>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</si>
  <si>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</si>
  <si>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</si>
  <si>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</si>
  <si>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</si>
  <si>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</si>
  <si>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</si>
  <si>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</si>
  <si>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</si>
  <si>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</si>
  <si>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</si>
  <si>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</si>
  <si>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</si>
  <si>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</si>
  <si>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</si>
  <si>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</si>
  <si>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</si>
  <si>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</si>
  <si>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</si>
  <si>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</si>
  <si>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</si>
  <si>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</si>
  <si>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</si>
  <si>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</si>
  <si>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</si>
  <si>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</si>
  <si>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</si>
  <si>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</si>
  <si>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</si>
  <si>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</si>
  <si>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</si>
  <si>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</si>
  <si>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</si>
  <si>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</si>
  <si>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</si>
  <si>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</si>
  <si>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</si>
  <si>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</si>
  <si>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</si>
  <si>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</si>
  <si>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</si>
  <si>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</si>
  <si>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</si>
  <si>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</si>
  <si>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</si>
  <si>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</si>
  <si>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</si>
  <si>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</si>
  <si>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</si>
  <si>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</si>
  <si>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</si>
  <si>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</si>
  <si>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</si>
  <si>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</si>
  <si>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</si>
  <si>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</si>
  <si>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</si>
  <si>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</si>
  <si>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</si>
  <si>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</si>
  <si>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</si>
  <si>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</si>
  <si>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</si>
  <si>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</si>
  <si>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</si>
  <si>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</si>
  <si>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</si>
  <si>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</si>
  <si>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</si>
  <si>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</si>
  <si>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</si>
  <si>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</si>
  <si>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</si>
  <si>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</si>
  <si>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</si>
  <si>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</si>
  <si>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</si>
  <si>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</si>
  <si>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</si>
  <si>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</si>
  <si>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</si>
  <si>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</si>
  <si>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</si>
  <si>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</si>
  <si>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</si>
  <si>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</si>
  <si>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</si>
  <si>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</si>
  <si>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</si>
  <si>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</si>
  <si>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</si>
  <si>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</si>
  <si>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</si>
  <si>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</si>
  <si>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</si>
  <si>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</si>
  <si>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</si>
  <si>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</si>
  <si>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</si>
  <si>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</si>
  <si>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</si>
  <si>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</si>
  <si>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</si>
  <si>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</si>
  <si>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</si>
  <si>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</si>
  <si>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</si>
  <si>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</si>
  <si>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</si>
  <si>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</si>
  <si>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</si>
  <si>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</si>
  <si>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</si>
  <si>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</si>
  <si>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</si>
  <si>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</si>
  <si>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</si>
  <si>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</si>
  <si>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</si>
  <si>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</si>
  <si>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</si>
  <si>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</si>
  <si>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</si>
  <si>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</si>
  <si>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</si>
  <si>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</si>
  <si>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</si>
  <si>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</si>
  <si>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</si>
  <si>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</si>
  <si>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</si>
  <si>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</si>
  <si>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</si>
  <si>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</si>
  <si>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</si>
  <si>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</si>
  <si>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</si>
  <si>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</si>
  <si>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</si>
  <si>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</si>
  <si>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</si>
  <si>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</si>
  <si>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</si>
  <si>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</si>
  <si>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</si>
  <si>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</si>
  <si>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</si>
  <si>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</si>
  <si>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</si>
  <si>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</si>
  <si>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</si>
  <si>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</si>
  <si>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</si>
  <si>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</si>
  <si>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</si>
  <si>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</si>
  <si>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</si>
  <si>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</si>
  <si>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</si>
  <si>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</si>
  <si>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</si>
  <si>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</si>
  <si>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</si>
  <si>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</si>
  <si>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</si>
  <si>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</si>
  <si>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</si>
  <si>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</si>
  <si>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</si>
  <si>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</si>
  <si>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</si>
  <si>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</si>
  <si>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</si>
  <si>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</si>
  <si>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</si>
  <si>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</si>
  <si>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</si>
  <si>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</si>
  <si>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</si>
  <si>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</si>
  <si>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</si>
  <si>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</si>
  <si>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</si>
  <si>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</si>
  <si>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</si>
  <si>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</si>
  <si>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</si>
  <si>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</si>
  <si>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</si>
  <si>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</si>
  <si>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</si>
  <si>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</si>
  <si>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</si>
  <si>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</si>
  <si>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2.3.1.2.3.1.1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</si>
  <si>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</si>
  <si>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</si>
  <si>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</si>
  <si>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</si>
  <si>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</si>
  <si>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</si>
  <si>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</si>
  <si>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</si>
  <si>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</si>
  <si>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</si>
  <si>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제품소개</t>
  </si>
  <si>
    <t>디퓨저 설정</t>
  </si>
  <si>
    <t>문의사항</t>
  </si>
  <si>
    <t>디퓨저 판매</t>
  </si>
  <si>
    <t>장바구니</t>
  </si>
  <si>
    <t>검색</t>
  </si>
  <si>
    <t>2.3.1.2.3.1.2</t>
  </si>
  <si>
    <t>2.3.1.2.3.1.3</t>
  </si>
  <si>
    <t>2.3.1.2.3.1.4</t>
  </si>
  <si>
    <t>2.3.1.2.3.1.5</t>
  </si>
  <si>
    <t>2.3.1.2.3.1.6</t>
  </si>
  <si>
    <t>2.3.1.2.3.1.7</t>
  </si>
  <si>
    <t>2.3.1.2.3.1.8</t>
  </si>
  <si>
    <t>2.3.1.2.3.1.9</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</si>
  <si>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</si>
  <si>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</si>
  <si>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</si>
  <si>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</si>
  <si>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</si>
  <si>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</si>
  <si>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</si>
  <si>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</si>
  <si>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</si>
  <si>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</si>
  <si>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</si>
  <si>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</si>
  <si>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</si>
  <si>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</si>
  <si>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</si>
  <si>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</si>
  <si>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</si>
  <si>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</si>
  <si>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</si>
  <si>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</si>
  <si>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2.3.1.2.3.1.10</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</si>
  <si>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</si>
  <si>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</si>
  <si>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</si>
  <si>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</si>
  <si>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</si>
  <si>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</si>
  <si>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</si>
  <si>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</si>
  <si>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</si>
  <si>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</si>
  <si>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</si>
  <si>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</si>
  <si>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</si>
  <si>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</si>
  <si>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</si>
  <si>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</si>
  <si>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</si>
  <si>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</si>
  <si>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</si>
  <si>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</si>
  <si>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</si>
  <si>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</si>
  <si>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</si>
  <si>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</si>
  <si>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</si>
  <si>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</si>
  <si>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</si>
  <si>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</si>
  <si>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</si>
  <si>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</si>
  <si>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</si>
  <si>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</si>
  <si>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</si>
  <si>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</si>
  <si>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</si>
  <si>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</si>
  <si>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</si>
  <si>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SCHEDULE_SHEET_POSITION:3545121314151617181920212223242526272829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</si>
</sst>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0">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D1" zoomScale="115" zoomScaleNormal="115" zoomScalePageLayoutView="55" workbookViewId="0">
      <pane ySplit="4" topLeftCell="A40" activePane="bottomLeft" state="frozen"/>
      <selection activeCell="D1" sqref="D1"/>
      <selection pane="bottomLeft" activeCell="J48" sqref="J48:N54"/>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7.44140625" style="31" customWidth="1"/>
    <col min="13" max="13" width="8.44140625" style="32" customWidth="1"/>
    <col min="14" max="14" width="8.33203125" style="32" customWidth="1"/>
    <col min="15" max="15" width="6.109375" style="31" hidden="1" customWidth="1"/>
    <col min="16" max="16" width="8.77734375" style="33" customWidth="1"/>
    <col min="17" max="17" width="4.5546875" style="33" customWidth="1"/>
    <col min="18" max="18" width="5.554687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32" t="s">
        <v>1168</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21" t="s">
        <v>1075</v>
      </c>
      <c r="B3" s="216" t="s">
        <v>1076</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1077</v>
      </c>
      <c r="U3" s="218" t="s">
        <v>1031</v>
      </c>
      <c r="V3" s="220" t="s">
        <v>1078</v>
      </c>
      <c r="W3" s="215" t="s">
        <v>1065</v>
      </c>
      <c r="X3" s="230" t="s">
        <v>1052</v>
      </c>
      <c r="Y3" s="216" t="s">
        <v>1074</v>
      </c>
      <c r="Z3" s="216" t="s">
        <v>1079</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999999999999996"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1082</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1083</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1083</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1082</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1083</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1083</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1161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1083</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1162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1083</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1082</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1082</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1082</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1151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1149</v>
      </c>
      <c r="E25" s="148"/>
      <c r="F25" s="148"/>
      <c r="G25" s="183" t="s">
        <v>1150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1156</v>
      </c>
      <c r="E28" s="148"/>
      <c r="F28" s="148"/>
      <c r="G28" s="148"/>
      <c r="H28" s="184" t="s">
        <v>1154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1152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1157</v>
      </c>
      <c r="E29" s="148"/>
      <c r="F29" s="148"/>
      <c r="G29" s="148"/>
      <c r="H29" s="184" t="s">
        <v>1155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1158</v>
      </c>
      <c r="E30" s="148"/>
      <c r="F30" s="148"/>
      <c r="G30" s="184"/>
      <c r="H30" s="183" t="s">
        <v>1153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1152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1172</v>
      </c>
      <c r="E31" s="148"/>
      <c r="F31" s="148"/>
      <c r="G31" s="184"/>
      <c r="H31" s="183" t="s">
        <v>1167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1152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1082</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1084</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1082</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1173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1184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43528</v>
      </c>
      <c r="N41" s="126">
        <v>43539</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1085</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3/4-3/15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43540</v>
      </c>
      <c r="N42" s="126">
        <v>43546</v>
      </c>
      <c r="O42" s="148"/>
      <c r="P42" s="149">
        <v>15</v>
      </c>
      <c r="Q42" s="149">
        <v>15</v>
      </c>
      <c r="R42" s="150" t="e">
        <f ca="1">IF(M42="","0",(N42-M42+1)-COUNTIFS(INDIRECT(getCalendarRange(O42)),"&gt;=" &amp; M42,INDIRECT(getCalendarRange(O42)),"&lt;=" &amp; N42))</f>
        <v>#NAME?</v>
      </c>
      <c r="S42" s="150">
        <f ca="1">IF(M42&gt;TODAY(),0,IF(N42&lt;TODAY(),R42,(TODAY()-M42+1)-COUNTIFS(INDIRECT(getCalendarRange(O42)),"&gt;=" &amp; M42,INDIRECT(getCalendarRange(O42)),"&lt;=" &amp; TODAY())))</f>
        <v>0</v>
      </c>
      <c r="T42" s="126"/>
      <c r="U42" s="126"/>
      <c r="V42" s="151"/>
      <c r="W42" s="152" t="str">
        <f ca="1">IF(U42="","0",IF(T42="","0",(U42-T42+1)-COUNTIFS(INDIRECT(getCalendarRange(O42)),"&gt;=" &amp; T42,INDIRECT(getCalendarRange(O42)),"&lt;=" &amp; U42)))</f>
        <v>0</v>
      </c>
      <c r="X42" s="153">
        <v>1</v>
      </c>
      <c r="Y42" s="183" t="s">
        <v>1085</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3/16-3/22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1086</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1175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1087</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1085</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1088</v>
      </c>
      <c r="E45" s="148"/>
      <c r="F45" s="148"/>
      <c r="G45" s="148"/>
      <c r="H45" s="148"/>
      <c r="I45" s="148"/>
      <c r="J45" s="183" t="s">
        <v>1089</v>
      </c>
      <c r="K45" s="148"/>
      <c r="L45" s="148"/>
      <c r="M45" s="126">
        <v>43521</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1085</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2/25-3/3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1142</v>
      </c>
      <c r="E46" s="148"/>
      <c r="F46" s="148"/>
      <c r="G46" s="148"/>
      <c r="H46" s="148"/>
      <c r="I46" s="148"/>
      <c r="J46" s="183" t="s">
        <v>1141</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1163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1095</v>
      </c>
      <c r="E48" s="148"/>
      <c r="F48" s="148"/>
      <c r="G48" s="148"/>
      <c r="H48" s="148"/>
      <c r="I48" s="148"/>
      <c r="J48" s="183" t="s">
        <v>1166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1164</v>
      </c>
      <c r="K49" s="148"/>
      <c r="L49" s="148"/>
      <c r="M49" s="126">
        <v>43510</v>
      </c>
      <c r="N49" s="126">
        <v>43515</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2/14-2/19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3" t="s">
        <v>1090</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1092</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1091</v>
      </c>
      <c r="K53" s="148"/>
      <c r="L53" s="148"/>
      <c r="M53" s="126">
        <v>43516</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2/20-3/5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1145</v>
      </c>
      <c r="E54" s="148"/>
      <c r="F54" s="148"/>
      <c r="G54" s="148"/>
      <c r="H54" s="148"/>
      <c r="I54" s="148"/>
      <c r="J54" s="183" t="s">
        <v>1146</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43497</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2/1-4/18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1101</v>
      </c>
      <c r="E56" s="148"/>
      <c r="F56" s="148"/>
      <c r="G56" s="148"/>
      <c r="H56" s="148"/>
      <c r="I56" s="148"/>
      <c r="J56" s="183" t="s">
        <v>1094</v>
      </c>
      <c r="K56" s="148"/>
      <c r="L56" s="148"/>
      <c r="M56" s="126">
        <v>43497</v>
      </c>
      <c r="N56" s="126">
        <v>43573</v>
      </c>
      <c r="O56" s="148"/>
      <c r="P56" s="149">
        <v>106</v>
      </c>
      <c r="Q56" s="149">
        <v>59</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2/1-4/18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v>7</v>
      </c>
      <c r="D57" s="157" t="s">
        <v>1102</v>
      </c>
      <c r="E57" s="148"/>
      <c r="F57" s="148"/>
      <c r="G57" s="148"/>
      <c r="H57" s="148"/>
      <c r="I57" s="148"/>
      <c r="J57" s="183"/>
      <c r="K57" s="183" t="s">
        <v>1113</v>
      </c>
      <c r="L57" s="148"/>
      <c r="M57" s="126">
        <v>43497</v>
      </c>
      <c r="N57" s="126">
        <v>43503</v>
      </c>
      <c r="O57" s="148"/>
      <c r="P57" s="149">
        <v>7</v>
      </c>
      <c r="Q57" s="149">
        <v>7</v>
      </c>
      <c r="R57" s="150" t="e">
        <f ca="1">IF(M57="","0",(N57-M57+1)-COUNTIFS(INDIRECT(getCalendarRange(O57)),"&gt;=" &amp; M57,INDIRECT(getCalendarRange(O57)),"&lt;=" &amp; N57))</f>
        <v>#NAME?</v>
      </c>
      <c r="S57" s="150" t="e">
        <f ca="1">IF(M57&gt;TODAY(),0,IF(N57&lt;TODAY(),R57,(TODAY()-M57+1)-COUNTIFS(INDIRECT(getCalendarRange(O57)),"&gt;=" &amp; M57,INDIRECT(getCalendarRange(O57)),"&lt;=" &amp; TODAY())))</f>
        <v>#NAME?</v>
      </c>
      <c r="T57" s="126"/>
      <c r="U57" s="126"/>
      <c r="V57" s="151"/>
      <c r="W57" s="152" t="str">
        <f ca="1">IF(U57="","0",IF(T57="","0",(U57-T57+1)-COUNTIFS(INDIRECT(getCalendarRange(O57)),"&gt;=" &amp; T57,INDIRECT(getCalendarRange(O57)),"&lt;=" &amp; U57)))</f>
        <v>0</v>
      </c>
      <c r="X57" s="153">
        <v>1</v>
      </c>
      <c r="Y57" s="183" t="s">
        <v>1112</v>
      </c>
      <c r="Z57" s="154"/>
      <c r="AA57" s="155">
        <v>1</v>
      </c>
      <c r="AB57" s="156">
        <v>0</v>
      </c>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t="str">
        <f>K57 &amp; " " &amp; IF(M57="","",TEXT(M57,"M/D-")) &amp; IF(N57="","",TEXT(N57,"M/D")) &amp; " "</f>
        <v xml:space="preserve">제품소개 2/1-2/7 </v>
      </c>
      <c r="DG57" s="207" t="str">
        <f>TEXT(AB57,"#0.00%") &amp; " "</f>
        <v xml:space="preserve">0.00% </v>
      </c>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1119</v>
      </c>
      <c r="E58" s="148"/>
      <c r="F58" s="148"/>
      <c r="G58" s="148"/>
      <c r="H58" s="148"/>
      <c r="I58" s="148"/>
      <c r="J58" s="183"/>
      <c r="K58" s="183" t="s">
        <v>1115</v>
      </c>
      <c r="L58" s="148"/>
      <c r="M58" s="126">
        <v>43497</v>
      </c>
      <c r="N58" s="126">
        <v>43503</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1112</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문의사항 2/1-2/7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1120</v>
      </c>
      <c r="E59" s="148"/>
      <c r="F59" s="148"/>
      <c r="G59" s="148"/>
      <c r="H59" s="148"/>
      <c r="I59" s="148"/>
      <c r="J59" s="183"/>
      <c r="K59" s="183" t="s">
        <v>1165</v>
      </c>
      <c r="L59" s="148"/>
      <c r="M59" s="126">
        <v>43548</v>
      </c>
      <c r="N59" s="126">
        <v>43555</v>
      </c>
      <c r="O59" s="148"/>
      <c r="P59" s="149">
        <v>8</v>
      </c>
      <c r="Q59" s="149">
        <v>0</v>
      </c>
      <c r="R59" s="150" t="e">
        <f ca="1">IF(M59="","0",(N59-M59+1)-COUNTIFS(INDIRECT(getCalendarRange(O59)),"&gt;=" &amp; M59,INDIRECT(getCalendarRange(O59)),"&lt;=" &amp; N59))</f>
        <v>#NAME?</v>
      </c>
      <c r="S59" s="150">
        <f ca="1">IF(M59&gt;TODAY(),0,IF(N59&lt;TODAY(),R59,(TODAY()-M59+1)-COUNTIFS(INDIRECT(getCalendarRange(O59)),"&gt;=" &amp; M59,INDIRECT(getCalendarRange(O59)),"&lt;=" &amp; TODAY())))</f>
        <v>0</v>
      </c>
      <c r="T59" s="126"/>
      <c r="U59" s="126"/>
      <c r="V59" s="151"/>
      <c r="W59" s="152" t="str">
        <f ca="1">IF(U59="","0",IF(T59="","0",(U59-T59+1)-COUNTIFS(INDIRECT(getCalendarRange(O59)),"&gt;=" &amp; T59,INDIRECT(getCalendarRange(O59)),"&lt;=" &amp; U59)))</f>
        <v>0</v>
      </c>
      <c r="X59" s="153">
        <v>1</v>
      </c>
      <c r="Y59" s="183" t="s">
        <v>1112</v>
      </c>
      <c r="Z59" s="154"/>
      <c r="AA59" s="155">
        <v>0</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t="str">
        <f>K59 &amp; " " &amp; IF(M59="","",TEXT(M59,"M/D-")) &amp; IF(N59="","",TEXT(N59,"M/D")) &amp; " "</f>
        <v xml:space="preserve">감정 그래프 3/24-3/31 </v>
      </c>
      <c r="FF59" s="207" t="str">
        <f>TEXT(AB59,"#0.00%") &amp; " "</f>
        <v xml:space="preserve">0.00% </v>
      </c>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1121</v>
      </c>
      <c r="E60" s="148"/>
      <c r="F60" s="148"/>
      <c r="G60" s="148"/>
      <c r="H60" s="148"/>
      <c r="I60" s="148"/>
      <c r="J60" s="183"/>
      <c r="K60" s="183" t="s">
        <v>1116</v>
      </c>
      <c r="L60" s="148"/>
      <c r="M60" s="126">
        <v>43503</v>
      </c>
      <c r="N60" s="126">
        <v>43510</v>
      </c>
      <c r="O60" s="148"/>
      <c r="P60" s="149">
        <v>8</v>
      </c>
      <c r="Q60" s="149">
        <v>8</v>
      </c>
      <c r="R60" s="150" t="e">
        <f ca="1">IF(M60="","0",(N60-M60+1)-COUNTIFS(INDIRECT(getCalendarRange(O60)),"&gt;=" &amp; M60,INDIRECT(getCalendarRange(O60)),"&lt;=" &amp; N60))</f>
        <v>#NAME?</v>
      </c>
      <c r="S60" s="150" t="e">
        <f ca="1">IF(M60&gt;TODAY(),0,IF(N60&lt;TODAY(),R60,(TODAY()-M60+1)-COUNTIFS(INDIRECT(getCalendarRange(O60)),"&gt;=" &amp; M60,INDIRECT(getCalendarRange(O60)),"&lt;=" &amp; TODAY())))</f>
        <v>#NAME?</v>
      </c>
      <c r="T60" s="126"/>
      <c r="U60" s="126"/>
      <c r="V60" s="151"/>
      <c r="W60" s="152" t="str">
        <f ca="1">IF(U60="","0",IF(T60="","0",(U60-T60+1)-COUNTIFS(INDIRECT(getCalendarRange(O60)),"&gt;=" &amp; T60,INDIRECT(getCalendarRange(O60)),"&lt;=" &amp; U60)))</f>
        <v>0</v>
      </c>
      <c r="X60" s="153">
        <v>1</v>
      </c>
      <c r="Y60" s="183" t="s">
        <v>1112</v>
      </c>
      <c r="Z60" s="154"/>
      <c r="AA60" s="155">
        <v>1</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t="str">
        <f>K60 &amp; " " &amp; IF(M60="","",TEXT(M60,"M/D-")) &amp; IF(N60="","",TEXT(N60,"M/D")) &amp; " "</f>
        <v xml:space="preserve">디퓨저 판매 2/7-2/14 </v>
      </c>
      <c r="DM60" s="207" t="str">
        <f>TEXT(AB60,"#0.00%") &amp; " "</f>
        <v xml:space="preserve">0.00% </v>
      </c>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1122</v>
      </c>
      <c r="E61" s="148"/>
      <c r="F61" s="148"/>
      <c r="G61" s="148"/>
      <c r="H61" s="148"/>
      <c r="I61" s="148"/>
      <c r="J61" s="183"/>
      <c r="K61" s="184" t="s">
        <v>1169</v>
      </c>
      <c r="L61" s="148"/>
      <c r="M61" s="126">
        <v>43503</v>
      </c>
      <c r="N61" s="126">
        <v>43510</v>
      </c>
      <c r="O61" s="148"/>
      <c r="P61" s="149">
        <v>8</v>
      </c>
      <c r="Q61" s="149">
        <v>8</v>
      </c>
      <c r="R61" s="150" t="e">
        <f ca="1">IF(M61="","0",(N61-M61+1)-COUNTIFS(INDIRECT(getCalendarRange(O61)),"&gt;=" &amp; M61,INDIRECT(getCalendarRange(O61)),"&lt;=" &amp; N61))</f>
        <v>#NAME?</v>
      </c>
      <c r="S61" s="150" t="e">
        <f ca="1">IF(M61&gt;TODAY(),0,IF(N61&lt;TODAY(),R61,(TODAY()-M61+1)-COUNTIFS(INDIRECT(getCalendarRange(O61)),"&gt;=" &amp; M61,INDIRECT(getCalendarRange(O61)),"&lt;=" &amp; TODAY())))</f>
        <v>#NAME?</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제품,리필용액 판매 2/7-2/14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1123</v>
      </c>
      <c r="E62" s="148"/>
      <c r="F62" s="148"/>
      <c r="G62" s="148"/>
      <c r="H62" s="148"/>
      <c r="I62" s="148"/>
      <c r="J62" s="183"/>
      <c r="K62" s="183" t="s">
        <v>1117</v>
      </c>
      <c r="L62" s="148"/>
      <c r="M62" s="126">
        <v>43510</v>
      </c>
      <c r="N62" s="126">
        <v>43517</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t="str">
        <f>K62 &amp; " " &amp; IF(M62="","",TEXT(M62,"M/D-")) &amp; IF(N62="","",TEXT(N62,"M/D")) &amp; " "</f>
        <v xml:space="preserve">장바구니 2/14-2/21 </v>
      </c>
      <c r="DT62" s="207" t="str">
        <f>TEXT(AB62,"#0.00%") &amp; " "</f>
        <v xml:space="preserve">0.00% </v>
      </c>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1124</v>
      </c>
      <c r="E63" s="148"/>
      <c r="F63" s="148"/>
      <c r="G63" s="148"/>
      <c r="H63" s="148"/>
      <c r="I63" s="148"/>
      <c r="J63" s="183"/>
      <c r="K63" s="183" t="s">
        <v>1110</v>
      </c>
      <c r="L63" s="148"/>
      <c r="M63" s="126">
        <v>43517</v>
      </c>
      <c r="N63" s="126">
        <v>43524</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t="str">
        <f>K63 &amp; " " &amp; IF(M63="","",TEXT(M63,"M/D-")) &amp; IF(N63="","",TEXT(N63,"M/D")) &amp; " "</f>
        <v xml:space="preserve">커뮤니티 2/21-2/28 </v>
      </c>
      <c r="EA63" s="207" t="str">
        <f>TEXT(AB63,"#0.00%") &amp; " "</f>
        <v xml:space="preserve">0.00% </v>
      </c>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1125</v>
      </c>
      <c r="E64" s="148"/>
      <c r="F64" s="148"/>
      <c r="G64" s="148"/>
      <c r="H64" s="148"/>
      <c r="I64" s="148"/>
      <c r="J64" s="183"/>
      <c r="K64" s="183" t="s">
        <v>1118</v>
      </c>
      <c r="L64" s="148"/>
      <c r="M64" s="126">
        <v>43524</v>
      </c>
      <c r="N64" s="126">
        <v>43538</v>
      </c>
      <c r="O64" s="148"/>
      <c r="P64" s="149">
        <v>15</v>
      </c>
      <c r="Q64" s="149">
        <v>13</v>
      </c>
      <c r="R64" s="150" t="e">
        <f ca="1">IF(M64="","0",(N64-M64+1)-COUNTIFS(INDIRECT(getCalendarRange(O64)),"&gt;=" &amp; M64,INDIRECT(getCalendarRange(O64)),"&lt;=" &amp; N64))</f>
        <v>#NAME?</v>
      </c>
      <c r="S64" s="150" t="e">
        <f ca="1">IF(M64&gt;TODAY(),0,IF(N64&lt;TODAY(),R64,(TODAY()-M64+1)-COUNTIFS(INDIRECT(getCalendarRange(O64)),"&gt;=" &amp; M64,INDIRECT(getCalendarRange(O64)),"&lt;=" &amp; TODAY())))</f>
        <v>#NAME?</v>
      </c>
      <c r="T64" s="126"/>
      <c r="U64" s="126"/>
      <c r="V64" s="151"/>
      <c r="W64" s="152" t="str">
        <f ca="1">IF(U64="","0",IF(T64="","0",(U64-T64+1)-COUNTIFS(INDIRECT(getCalendarRange(O64)),"&gt;=" &amp; T64,INDIRECT(getCalendarRange(O64)),"&lt;=" &amp; U64)))</f>
        <v>0</v>
      </c>
      <c r="X64" s="153">
        <v>1</v>
      </c>
      <c r="Y64" s="183" t="s">
        <v>1112</v>
      </c>
      <c r="Z64" s="154"/>
      <c r="AA64" s="155">
        <v>0.8666666666666667</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c r="EA64" s="208"/>
      <c r="EB64" s="208"/>
      <c r="EC64" s="208"/>
      <c r="ED64" s="208"/>
      <c r="EE64" s="208"/>
      <c r="EF64" s="208"/>
      <c r="EG64" s="208" t="str">
        <f>K64 &amp; " " &amp; IF(M64="","",TEXT(M64,"M/D-")) &amp; IF(N64="","",TEXT(N64,"M/D")) &amp; " "</f>
        <v xml:space="preserve">검색 2/28-3/14 </v>
      </c>
      <c r="EH64" s="207" t="str">
        <f>TEXT(AB64,"#0.00%") &amp; " "</f>
        <v xml:space="preserve">0.00% </v>
      </c>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1126</v>
      </c>
      <c r="E65" s="148"/>
      <c r="F65" s="148"/>
      <c r="G65" s="148"/>
      <c r="H65" s="148"/>
      <c r="I65" s="148"/>
      <c r="J65" s="184"/>
      <c r="K65" s="183" t="s">
        <v>1111</v>
      </c>
      <c r="L65" s="148"/>
      <c r="M65" s="126">
        <v>43538</v>
      </c>
      <c r="N65" s="126">
        <v>43554</v>
      </c>
      <c r="O65" s="148"/>
      <c r="P65" s="149">
        <v>17</v>
      </c>
      <c r="Q65" s="149">
        <v>0</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t="str">
        <f>K65 &amp; " " &amp; IF(M65="","",TEXT(M65,"M/D-")) &amp; IF(N65="","",TEXT(N65,"M/D")) &amp; " "</f>
        <v xml:space="preserve">마이페이지 3/14-3/30 </v>
      </c>
      <c r="EV65" s="207" t="str">
        <f>TEXT(AB65,"#0.00%") &amp; " "</f>
        <v xml:space="preserve">0.00% </v>
      </c>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1147</v>
      </c>
      <c r="E66" s="148"/>
      <c r="F66" s="148"/>
      <c r="G66" s="148"/>
      <c r="H66" s="148"/>
      <c r="I66" s="148"/>
      <c r="J66" s="183"/>
      <c r="K66" s="183" t="s">
        <v>1148</v>
      </c>
      <c r="L66" s="184"/>
      <c r="M66" s="126">
        <v>43554</v>
      </c>
      <c r="N66" s="126">
        <v>43573</v>
      </c>
      <c r="O66" s="148"/>
      <c r="P66" s="149">
        <v>20</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1093</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t="str">
        <f>K66 &amp; " " &amp; IF(M66="","",TEXT(M66,"M/D-")) &amp; IF(N66="","",TEXT(N66,"M/D")) &amp; " "</f>
        <v xml:space="preserve">디자인 수정 3/30-4/18 </v>
      </c>
      <c r="FL66" s="207" t="str">
        <f>TEXT(AB66,"#0.00%") &amp; " "</f>
        <v xml:space="preserve">0.00% </v>
      </c>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t="s">
        <v>996</v>
      </c>
      <c r="C67" s="147">
        <v>5</v>
      </c>
      <c r="D67" s="157" t="s">
        <v>980</v>
      </c>
      <c r="E67" s="148"/>
      <c r="F67" s="148"/>
      <c r="G67" s="148"/>
      <c r="H67" s="148"/>
      <c r="I67" s="184" t="s">
        <v>1139</v>
      </c>
      <c r="J67" s="148"/>
      <c r="K67" s="148"/>
      <c r="L67" s="148"/>
      <c r="M67" s="126">
        <v>43497</v>
      </c>
      <c r="N67" s="126">
        <v>43579</v>
      </c>
      <c r="O67" s="148"/>
      <c r="P67" s="149">
        <v>90</v>
      </c>
      <c r="Q67" s="149">
        <v>46</v>
      </c>
      <c r="R67" s="150" t="e">
        <f ca="1">IF(M67="","0",(N67-M67+1)-COUNTIFS(INDIRECT(getCalendarRange(O67)),"&gt;=" &amp; M67,INDIRECT(getCalendarRange(O67)),"&lt;=" &amp; N67))</f>
        <v>#NAME?</v>
      </c>
      <c r="S67" s="150" t="e">
        <f ca="1">IF(M67&gt;TODAY(),0,IF(N67&lt;TODAY(),R67,(TODAY()-M67+1)-COUNTIFS(INDIRECT(getCalendarRange(O67)),"&gt;=" &amp; M67,INDIRECT(getCalendarRange(O67)),"&lt;=" &amp; TODAY())))</f>
        <v>#NAME?</v>
      </c>
      <c r="T67" s="126"/>
      <c r="U67" s="126"/>
      <c r="V67" s="151">
        <v>0</v>
      </c>
      <c r="W67" s="152" t="str">
        <f ca="1">IF(U67="","0",IF(T67="","0",(U67-T67+1)-COUNTIFS(INDIRECT(getCalendarRange(O67)),"&gt;=" &amp; T67,INDIRECT(getCalendarRange(O67)),"&lt;=" &amp; U67)))</f>
        <v>0</v>
      </c>
      <c r="X67" s="153"/>
      <c r="Y67" s="184" t="s">
        <v>1107</v>
      </c>
      <c r="Z67" s="154"/>
      <c r="AA67" s="155">
        <v>0.51111111111111107</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t="str">
        <f>I67 &amp; " " &amp; IF(M67="","",TEXT(M67,"M/D-")) &amp; IF(N67="","",TEXT(N67,"M/D")) &amp; " "</f>
        <v xml:space="preserve">어플리케이션 개발 2/1-4/24 </v>
      </c>
      <c r="DG67" s="207" t="str">
        <f>TEXT(AB67,"#0.00%") &amp; " "</f>
        <v xml:space="preserve">0.00% </v>
      </c>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6</v>
      </c>
      <c r="D68" s="157" t="s">
        <v>1134</v>
      </c>
      <c r="E68" s="148"/>
      <c r="F68" s="148"/>
      <c r="G68" s="148"/>
      <c r="H68" s="148"/>
      <c r="I68" s="184"/>
      <c r="J68" s="184" t="s">
        <v>1144</v>
      </c>
      <c r="K68" s="148"/>
      <c r="L68" s="148"/>
      <c r="M68" s="126">
        <v>43529</v>
      </c>
      <c r="N68" s="126">
        <v>43539</v>
      </c>
      <c r="O68" s="148"/>
      <c r="P68" s="149">
        <v>11</v>
      </c>
      <c r="Q68" s="149">
        <v>8</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c r="W68" s="152" t="str">
        <f ca="1">IF(U68="","0",IF(T68="","0",(U68-T68+1)-COUNTIFS(INDIRECT(getCalendarRange(O68)),"&gt;=" &amp; T68,INDIRECT(getCalendarRange(O68)),"&lt;=" &amp; U68)))</f>
        <v>0</v>
      </c>
      <c r="X68" s="153">
        <v>1</v>
      </c>
      <c r="Y68" s="184" t="s">
        <v>1107</v>
      </c>
      <c r="Z68" s="154"/>
      <c r="AA68" s="155">
        <v>0.72727272727272729</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t="str">
        <f>J68 &amp; " " &amp; IF(M68="","",TEXT(M68,"M/D-")) &amp; IF(N68="","",TEXT(N68,"M/D")) &amp; " "</f>
        <v xml:space="preserve">디퓨저 연동 페이지 3/5-3/15 </v>
      </c>
      <c r="EM68" s="207" t="str">
        <f>TEXT(AB68,"#0.00%") &amp; " "</f>
        <v xml:space="preserve">0.00% </v>
      </c>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1135</v>
      </c>
      <c r="E69" s="148"/>
      <c r="F69" s="148"/>
      <c r="G69" s="148"/>
      <c r="H69" s="148"/>
      <c r="I69" s="148"/>
      <c r="J69" s="183" t="s">
        <v>1114</v>
      </c>
      <c r="K69" s="148"/>
      <c r="L69" s="148"/>
      <c r="M69" s="126">
        <v>43529</v>
      </c>
      <c r="N69" s="126">
        <v>43544</v>
      </c>
      <c r="O69" s="148"/>
      <c r="P69" s="149">
        <v>16</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0.5</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설정 3/5-3/20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1136</v>
      </c>
      <c r="E70" s="148"/>
      <c r="F70" s="148"/>
      <c r="G70" s="148"/>
      <c r="H70" s="148"/>
      <c r="I70" s="184"/>
      <c r="J70" s="184" t="s">
        <v>1140</v>
      </c>
      <c r="K70" s="148"/>
      <c r="L70" s="148"/>
      <c r="M70" s="126">
        <v>43497</v>
      </c>
      <c r="N70" s="126">
        <v>43506</v>
      </c>
      <c r="O70" s="148"/>
      <c r="P70" s="149">
        <v>10</v>
      </c>
      <c r="Q70" s="149">
        <v>10</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1</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t="str">
        <f>J70 &amp; " " &amp; IF(M70="","",TEXT(M70,"M/D-")) &amp; IF(N70="","",TEXT(N70,"M/D")) &amp; " "</f>
        <v xml:space="preserve">디퓨저 정보 제공 2/1-2/10 </v>
      </c>
      <c r="DG70" s="207" t="str">
        <f>TEXT(AB70,"#0.00%") &amp; " "</f>
        <v xml:space="preserve">0.00% </v>
      </c>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c r="EM70" s="208"/>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1137</v>
      </c>
      <c r="E71" s="148"/>
      <c r="F71" s="148"/>
      <c r="G71" s="148"/>
      <c r="H71" s="148"/>
      <c r="I71" s="184"/>
      <c r="J71" s="184" t="s">
        <v>1170</v>
      </c>
      <c r="K71" s="148"/>
      <c r="L71" s="148"/>
      <c r="M71" s="126">
        <v>43506</v>
      </c>
      <c r="N71" s="126">
        <v>43516</v>
      </c>
      <c r="O71" s="148"/>
      <c r="P71" s="149">
        <v>11</v>
      </c>
      <c r="Q71" s="149">
        <v>11</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8"/>
      <c r="DH71" s="208"/>
      <c r="DI71" s="208"/>
      <c r="DJ71" s="208"/>
      <c r="DK71" s="208"/>
      <c r="DL71" s="208"/>
      <c r="DM71" s="208"/>
      <c r="DN71" s="208"/>
      <c r="DO71" s="208" t="str">
        <f>J71 &amp; " " &amp; IF(M71="","",TEXT(M71,"M/D-")) &amp; IF(N71="","",TEXT(N71,"M/D")) &amp; " "</f>
        <v xml:space="preserve">리모컨 기능 2/10-2/20 </v>
      </c>
      <c r="DP71" s="207" t="str">
        <f>TEXT(AB71,"#0.00%") &amp; " "</f>
        <v xml:space="preserve">0.00% </v>
      </c>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1138</v>
      </c>
      <c r="E72" s="148"/>
      <c r="F72" s="148"/>
      <c r="G72" s="148"/>
      <c r="H72" s="148"/>
      <c r="I72" s="184"/>
      <c r="J72" s="184" t="s">
        <v>1171</v>
      </c>
      <c r="K72" s="148"/>
      <c r="L72" s="148"/>
      <c r="M72" s="126">
        <v>43516</v>
      </c>
      <c r="N72" s="126">
        <v>43524</v>
      </c>
      <c r="O72" s="148"/>
      <c r="P72" s="149">
        <v>9</v>
      </c>
      <c r="Q72" s="149">
        <v>9</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c r="DP72" s="208"/>
      <c r="DQ72" s="208"/>
      <c r="DR72" s="208"/>
      <c r="DS72" s="208"/>
      <c r="DT72" s="208"/>
      <c r="DU72" s="208"/>
      <c r="DV72" s="208"/>
      <c r="DW72" s="208"/>
      <c r="DX72" s="208"/>
      <c r="DY72" s="208" t="str">
        <f>J72 &amp; " " &amp; IF(M72="","",TEXT(M72,"M/D-")) &amp; IF(N72="","",TEXT(N72,"M/D")) &amp; " "</f>
        <v xml:space="preserve">디퓨저 알람 2/20-2/28 </v>
      </c>
      <c r="DZ72" s="207" t="str">
        <f>TEXT(AB72,"#0.00%") &amp; " "</f>
        <v xml:space="preserve">0.00% </v>
      </c>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1143</v>
      </c>
      <c r="E73" s="148"/>
      <c r="F73" s="148"/>
      <c r="G73" s="148"/>
      <c r="H73" s="148"/>
      <c r="I73" s="184"/>
      <c r="J73" s="184" t="s">
        <v>1086</v>
      </c>
      <c r="K73" s="148"/>
      <c r="L73" s="148"/>
      <c r="M73" s="126">
        <v>43548</v>
      </c>
      <c r="N73" s="126">
        <v>43559</v>
      </c>
      <c r="O73" s="148"/>
      <c r="P73" s="149">
        <v>12</v>
      </c>
      <c r="Q73" s="149">
        <v>0</v>
      </c>
      <c r="R73" s="150" t="e">
        <f ca="1">IF(M73="","0",(N73-M73+1)-COUNTIFS(INDIRECT(getCalendarRange(O73)),"&gt;=" &amp; M73,INDIRECT(getCalendarRange(O73)),"&lt;=" &amp; N73))</f>
        <v>#NAME?</v>
      </c>
      <c r="S73" s="150">
        <f ca="1">IF(M73&gt;TODAY(),0,IF(N73&lt;TODAY(),R73,(TODAY()-M73+1)-COUNTIFS(INDIRECT(getCalendarRange(O73)),"&gt;=" &amp; M73,INDIRECT(getCalendarRange(O73)),"&lt;=" &amp; TODAY())))</f>
        <v>0</v>
      </c>
      <c r="T73" s="126"/>
      <c r="U73" s="126"/>
      <c r="V73" s="151"/>
      <c r="W73" s="152" t="str">
        <f ca="1">IF(U73="","0",IF(T73="","0",(U73-T73+1)-COUNTIFS(INDIRECT(getCalendarRange(O73)),"&gt;=" &amp; T73,INDIRECT(getCalendarRange(O73)),"&lt;=" &amp; U73)))</f>
        <v>0</v>
      </c>
      <c r="X73" s="153">
        <v>1</v>
      </c>
      <c r="Y73" s="184" t="s">
        <v>1107</v>
      </c>
      <c r="Z73" s="154"/>
      <c r="AA73" s="155">
        <v>0</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c r="DZ73" s="208"/>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t="str">
        <f>J73 &amp; " " &amp; IF(M73="","",TEXT(M73,"M/D-")) &amp; IF(N73="","",TEXT(N73,"M/D")) &amp; " "</f>
        <v xml:space="preserve">chatbot 3/24-4/4 </v>
      </c>
      <c r="FF73" s="207" t="str">
        <f>TEXT(AB73,"#0.00%") &amp; " "</f>
        <v xml:space="preserve">0.00% </v>
      </c>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1160</v>
      </c>
      <c r="E74" s="148"/>
      <c r="F74" s="148"/>
      <c r="G74" s="148"/>
      <c r="H74" s="148"/>
      <c r="I74" s="184"/>
      <c r="J74" s="184" t="s">
        <v>1159</v>
      </c>
      <c r="K74" s="148"/>
      <c r="L74" s="148"/>
      <c r="M74" s="126">
        <v>43559</v>
      </c>
      <c r="N74" s="126">
        <v>43579</v>
      </c>
      <c r="O74" s="148"/>
      <c r="P74" s="149">
        <v>21</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c r="FF74" s="208"/>
      <c r="FG74" s="208"/>
      <c r="FH74" s="208"/>
      <c r="FI74" s="208"/>
      <c r="FJ74" s="208"/>
      <c r="FK74" s="208"/>
      <c r="FL74" s="208"/>
      <c r="FM74" s="208"/>
      <c r="FN74" s="208"/>
      <c r="FO74" s="208"/>
      <c r="FP74" s="208" t="str">
        <f>J74 &amp; " " &amp; IF(M74="","",TEXT(M74,"M/D-")) &amp; IF(N74="","",TEXT(N74,"M/D")) &amp; " "</f>
        <v xml:space="preserve">수정 보완 4/4-4/24 </v>
      </c>
      <c r="FQ74" s="207" t="str">
        <f>TEXT(AB74,"#0.00%") &amp; " "</f>
        <v xml:space="preserve">0.00% </v>
      </c>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t="s">
        <v>996</v>
      </c>
      <c r="C75" s="147">
        <v>5</v>
      </c>
      <c r="D75" s="157" t="s">
        <v>1176</v>
      </c>
      <c r="E75" s="148"/>
      <c r="F75" s="148"/>
      <c r="G75" s="148"/>
      <c r="H75" s="148"/>
      <c r="I75" s="183" t="s">
        <v>1174</v>
      </c>
      <c r="J75" s="148"/>
      <c r="K75" s="148"/>
      <c r="L75" s="148"/>
      <c r="M75" s="126">
        <v>43497</v>
      </c>
      <c r="N75" s="126">
        <v>43579</v>
      </c>
      <c r="O75" s="148"/>
      <c r="P75" s="149">
        <v>90</v>
      </c>
      <c r="Q75" s="149">
        <v>46</v>
      </c>
      <c r="R75" s="150" t="e">
        <f ca="1">IF(M75="","0",(N75-M75+1)-COUNTIFS(INDIRECT(getCalendarRange(O75)),"&gt;=" &amp; M75,INDIRECT(getCalendarRange(O75)),"&lt;=" &amp; N75))</f>
        <v>#NAME?</v>
      </c>
      <c r="S75" s="150" t="e">
        <f ca="1">IF(M75&gt;TODAY(),0,IF(N75&lt;TODAY(),R75,(TODAY()-M75+1)-COUNTIFS(INDIRECT(getCalendarRange(O75)),"&gt;=" &amp; M75,INDIRECT(getCalendarRange(O75)),"&lt;=" &amp; TODAY())))</f>
        <v>#NAME?</v>
      </c>
      <c r="T75" s="126"/>
      <c r="U75" s="126"/>
      <c r="V75" s="151">
        <v>0</v>
      </c>
      <c r="W75" s="152" t="str">
        <f ca="1">IF(U75="","0",IF(T75="","0",(U75-T75+1)-COUNTIFS(INDIRECT(getCalendarRange(O75)),"&gt;=" &amp; T75,INDIRECT(getCalendarRange(O75)),"&lt;=" &amp; U75)))</f>
        <v>0</v>
      </c>
      <c r="X75" s="153"/>
      <c r="Y75" s="184" t="s">
        <v>1175</v>
      </c>
      <c r="Z75" s="154"/>
      <c r="AA75" s="155">
        <v>0.51111111111111107</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t="str">
        <f>I75 &amp; " " &amp; IF(M75="","",TEXT(M75,"M/D-")) &amp; IF(N75="","",TEXT(N75,"M/D")) &amp; " "</f>
        <v xml:space="preserve">서버 환경 구축 2/1-4/24 </v>
      </c>
      <c r="DG75" s="207" t="str">
        <f>TEXT(AB75,"#0.00%") &amp; " "</f>
        <v xml:space="preserve">0.00% </v>
      </c>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1177</v>
      </c>
      <c r="E76" s="148"/>
      <c r="F76" s="148"/>
      <c r="G76" s="148"/>
      <c r="H76" s="148"/>
      <c r="I76" s="184"/>
      <c r="J76" s="184">
        <v>1</v>
      </c>
      <c r="K76" s="148"/>
      <c r="L76" s="148"/>
      <c r="M76" s="126">
        <v>43529</v>
      </c>
      <c r="N76" s="126">
        <v>43539</v>
      </c>
      <c r="O76" s="148"/>
      <c r="P76" s="149">
        <v>11</v>
      </c>
      <c r="Q76" s="149">
        <v>8</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c r="W76" s="152" t="str">
        <f ca="1">IF(U76="","0",IF(T76="","0",(U76-T76+1)-COUNTIFS(INDIRECT(getCalendarRange(O76)),"&gt;=" &amp; T76,INDIRECT(getCalendarRange(O76)),"&lt;=" &amp; U76)))</f>
        <v>0</v>
      </c>
      <c r="X76" s="153">
        <v>1</v>
      </c>
      <c r="Y76" s="183" t="s">
        <v>1084</v>
      </c>
      <c r="Z76" s="154"/>
      <c r="AA76" s="155">
        <v>0.72727272727272729</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t="str">
        <f>J76 &amp; " " &amp; IF(M76="","",TEXT(M76,"M/D-")) &amp; IF(N76="","",TEXT(N76,"M/D")) &amp; " "</f>
        <v xml:space="preserve">1 3/5-3/15 </v>
      </c>
      <c r="EM76" s="207" t="str">
        <f>TEXT(AB76,"#0.00%") &amp; " "</f>
        <v xml:space="preserve">0.00% </v>
      </c>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1178</v>
      </c>
      <c r="E77" s="148"/>
      <c r="F77" s="148"/>
      <c r="G77" s="148"/>
      <c r="H77" s="148"/>
      <c r="I77" s="148"/>
      <c r="J77" s="183">
        <v>2</v>
      </c>
      <c r="K77" s="148"/>
      <c r="L77" s="148"/>
      <c r="M77" s="126">
        <v>43529</v>
      </c>
      <c r="N77" s="126">
        <v>43544</v>
      </c>
      <c r="O77" s="148"/>
      <c r="P77" s="149">
        <v>16</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1084</v>
      </c>
      <c r="Z77" s="154"/>
      <c r="AA77" s="155">
        <v>0.5</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2 3/5-3/20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1179</v>
      </c>
      <c r="E78" s="148"/>
      <c r="F78" s="148"/>
      <c r="G78" s="148"/>
      <c r="H78" s="148"/>
      <c r="I78" s="184"/>
      <c r="J78" s="184">
        <v>3</v>
      </c>
      <c r="K78" s="148"/>
      <c r="L78" s="148"/>
      <c r="M78" s="126">
        <v>43497</v>
      </c>
      <c r="N78" s="126">
        <v>43506</v>
      </c>
      <c r="O78" s="148"/>
      <c r="P78" s="149">
        <v>10</v>
      </c>
      <c r="Q78" s="149">
        <v>10</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1084</v>
      </c>
      <c r="Z78" s="154"/>
      <c r="AA78" s="155">
        <v>1</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t="str">
        <f>J78 &amp; " " &amp; IF(M78="","",TEXT(M78,"M/D-")) &amp; IF(N78="","",TEXT(N78,"M/D")) &amp; " "</f>
        <v xml:space="preserve">3 2/1-2/10 </v>
      </c>
      <c r="DG78" s="207" t="str">
        <f>TEXT(AB78,"#0.00%") &amp; " "</f>
        <v xml:space="preserve">0.00% </v>
      </c>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1180</v>
      </c>
      <c r="E79" s="148"/>
      <c r="F79" s="148"/>
      <c r="G79" s="148"/>
      <c r="H79" s="148"/>
      <c r="I79" s="184"/>
      <c r="J79" s="184">
        <v>4</v>
      </c>
      <c r="K79" s="148"/>
      <c r="L79" s="148"/>
      <c r="M79" s="126">
        <v>43506</v>
      </c>
      <c r="N79" s="126">
        <v>43516</v>
      </c>
      <c r="O79" s="148"/>
      <c r="P79" s="149">
        <v>11</v>
      </c>
      <c r="Q79" s="149">
        <v>11</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1084</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t="str">
        <f>J79 &amp; " " &amp; IF(M79="","",TEXT(M79,"M/D-")) &amp; IF(N79="","",TEXT(N79,"M/D")) &amp; " "</f>
        <v xml:space="preserve">4 2/10-2/20 </v>
      </c>
      <c r="DP79" s="207" t="str">
        <f>TEXT(AB79,"#0.00%") &amp; " "</f>
        <v xml:space="preserve">0.00% </v>
      </c>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1181</v>
      </c>
      <c r="E80" s="148"/>
      <c r="F80" s="148"/>
      <c r="G80" s="148"/>
      <c r="H80" s="148"/>
      <c r="I80" s="184"/>
      <c r="J80" s="184">
        <v>5</v>
      </c>
      <c r="K80" s="148"/>
      <c r="L80" s="148"/>
      <c r="M80" s="126">
        <v>43516</v>
      </c>
      <c r="N80" s="126">
        <v>43524</v>
      </c>
      <c r="O80" s="148"/>
      <c r="P80" s="149">
        <v>9</v>
      </c>
      <c r="Q80" s="149">
        <v>9</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1084</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t="str">
        <f>J80 &amp; " " &amp; IF(M80="","",TEXT(M80,"M/D-")) &amp; IF(N80="","",TEXT(N80,"M/D")) &amp; " "</f>
        <v xml:space="preserve">5 2/20-2/28 </v>
      </c>
      <c r="DZ80" s="207" t="str">
        <f>TEXT(AB80,"#0.00%") &amp; " "</f>
        <v xml:space="preserve">0.00% </v>
      </c>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1182</v>
      </c>
      <c r="E81" s="148"/>
      <c r="F81" s="148"/>
      <c r="G81" s="148"/>
      <c r="H81" s="148"/>
      <c r="I81" s="184"/>
      <c r="J81" s="184">
        <v>6</v>
      </c>
      <c r="K81" s="148"/>
      <c r="L81" s="148"/>
      <c r="M81" s="126">
        <v>43548</v>
      </c>
      <c r="N81" s="126">
        <v>43559</v>
      </c>
      <c r="O81" s="148"/>
      <c r="P81" s="149">
        <v>12</v>
      </c>
      <c r="Q81" s="149">
        <v>0</v>
      </c>
      <c r="R81" s="150" t="e">
        <f ca="1">IF(M81="","0",(N81-M81+1)-COUNTIFS(INDIRECT(getCalendarRange(O81)),"&gt;=" &amp; M81,INDIRECT(getCalendarRange(O81)),"&lt;=" &amp; N81))</f>
        <v>#NAME?</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1084</v>
      </c>
      <c r="Z81" s="154"/>
      <c r="AA81" s="155">
        <v>0</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t="str">
        <f>J81 &amp; " " &amp; IF(M81="","",TEXT(M81,"M/D-")) &amp; IF(N81="","",TEXT(N81,"M/D")) &amp; " "</f>
        <v xml:space="preserve">6 3/24-4/4 </v>
      </c>
      <c r="FF81" s="207" t="str">
        <f>TEXT(AB81,"#0.00%") &amp; " "</f>
        <v xml:space="preserve">0.00% </v>
      </c>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1183</v>
      </c>
      <c r="E82" s="148"/>
      <c r="F82" s="148"/>
      <c r="G82" s="148"/>
      <c r="H82" s="148"/>
      <c r="I82" s="184"/>
      <c r="J82" s="184">
        <v>7</v>
      </c>
      <c r="K82" s="148"/>
      <c r="L82" s="148"/>
      <c r="M82" s="126">
        <v>43559</v>
      </c>
      <c r="N82" s="126">
        <v>43579</v>
      </c>
      <c r="O82" s="148"/>
      <c r="P82" s="149">
        <v>21</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1084</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t="str">
        <f>J82 &amp; " " &amp; IF(M82="","",TEXT(M82,"M/D-")) &amp; IF(N82="","",TEXT(N82,"M/D")) &amp; " "</f>
        <v xml:space="preserve">7 4/4-4/24 </v>
      </c>
      <c r="FQ82" s="207" t="str">
        <f>TEXT(AB82,"#0.00%") &amp; " "</f>
        <v xml:space="preserve">0.00% </v>
      </c>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1082</v>
      </c>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1084</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1082</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5">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2">
    <cfRule type="expression" dxfId="5" priority="6" stopIfTrue="1">
      <formula>COUNTIF(STD_CAL,AC$4)&gt;0</formula>
    </cfRule>
    <cfRule type="expression" dxfId="4" priority="5" stopIfTrue="1">
      <formula>AND(AC$4&gt;= $M5,AC$4&lt;=$N5)</formula>
    </cfRule>
    <cfRule type="expression" dxfId="3" priority="4">
      <formula>AND(AC$4&gt;= $M5,AC$4&lt;=$N5, $B5="G")</formula>
    </cfRule>
    <cfRule type="expression" dxfId="2" priority="3">
      <formula>AC$4=TODAY()</formula>
    </cfRule>
  </conditionalFormatting>
  <conditionalFormatting sqref="D5:AB92">
    <cfRule type="expression" dxfId="1" priority="1">
      <formula>($B5="G")</formula>
    </cfRule>
  </conditionalFormatting>
  <hyperlinks>
    <hyperlink ref="AC1:CA1" r:id="rId7" display="http://xlworks.net/" xr:uid="{00000000-0004-0000-0000-000000000000}"/>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554687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6.950000000000003" customHeight="1">
      <c r="A1" s="115" t="s">
        <v>1069</v>
      </c>
      <c r="B1" s="116"/>
      <c r="C1" s="116"/>
      <c r="D1" s="116"/>
      <c r="E1" s="116"/>
      <c r="F1" s="116"/>
      <c r="G1" s="116"/>
      <c r="H1" s="116"/>
      <c r="I1" s="116"/>
      <c r="J1" s="116"/>
      <c r="K1" s="116"/>
      <c r="L1" s="235"/>
      <c r="M1" s="236"/>
      <c r="N1" s="236"/>
      <c r="O1" s="87"/>
      <c r="P1" s="87"/>
      <c r="Q1" s="87"/>
    </row>
    <row r="2" spans="1:17" s="41" customFormat="1" ht="12.75">
      <c r="A2" s="124" t="s">
        <v>1017</v>
      </c>
      <c r="B2" s="40"/>
    </row>
    <row r="3" spans="1:17" s="41" customFormat="1" ht="12.75">
      <c r="A3" s="124" t="s">
        <v>1018</v>
      </c>
      <c r="B3" s="40"/>
    </row>
    <row r="4" spans="1:17" s="41" customFormat="1" ht="12.75">
      <c r="A4" s="237"/>
      <c r="B4" s="237"/>
      <c r="C4" s="42"/>
      <c r="D4" s="43"/>
      <c r="E4" s="43"/>
      <c r="F4" s="43"/>
    </row>
    <row r="5" spans="1:17" s="47" customFormat="1" ht="12.75">
      <c r="A5" s="44"/>
      <c r="B5" s="45"/>
      <c r="C5" s="46"/>
      <c r="D5" s="93"/>
      <c r="E5" s="94"/>
      <c r="F5" s="94"/>
      <c r="G5" s="94"/>
    </row>
    <row r="6" spans="1:17" s="47" customFormat="1" ht="12.75">
      <c r="A6" s="48" t="s">
        <v>1019</v>
      </c>
      <c r="B6" s="49">
        <v>771</v>
      </c>
      <c r="C6" s="47" t="s">
        <v>187</v>
      </c>
      <c r="D6" s="234" t="s">
        <v>1020</v>
      </c>
      <c r="E6" s="234"/>
      <c r="F6" s="234"/>
      <c r="G6" s="234"/>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3" t="s">
        <v>1022</v>
      </c>
      <c r="E9" s="233"/>
      <c r="F9" s="233"/>
      <c r="G9" s="233"/>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3" t="s">
        <v>1080</v>
      </c>
      <c r="E12" s="233"/>
      <c r="F12" s="233"/>
      <c r="G12" s="233"/>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3" t="s">
        <v>1024</v>
      </c>
      <c r="E15" s="233"/>
      <c r="F15" s="233"/>
      <c r="G15" s="233"/>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3" t="s">
        <v>1026</v>
      </c>
      <c r="E18" s="233"/>
      <c r="F18" s="233"/>
      <c r="G18" s="233"/>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3" t="s">
        <v>1028</v>
      </c>
      <c r="E21" s="233"/>
      <c r="F21" s="233"/>
      <c r="G21" s="233"/>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4" t="s">
        <v>1030</v>
      </c>
      <c r="E24" s="234"/>
      <c r="F24" s="234"/>
      <c r="G24" s="234"/>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RowHeight="15"/>
  <cols>
    <col min="1" max="1" width="1.77734375" style="181" customWidth="1"/>
    <col min="2" max="4" width="8.88671875" style="181"/>
    <col min="5" max="5" width="10.77734375" style="181" customWidth="1"/>
    <col min="6" max="16384" width="8.88671875" style="181"/>
  </cols>
  <sheetData>
    <row r="1" spans="2:6" ht="36.950000000000003" customHeight="1">
      <c r="B1" s="114" t="s">
        <v>1130</v>
      </c>
    </row>
    <row r="2" spans="2:6">
      <c r="B2" s="181" t="s">
        <v>1131</v>
      </c>
    </row>
    <row r="3" spans="2:6">
      <c r="B3" s="181" t="s">
        <v>1132</v>
      </c>
    </row>
    <row r="6" spans="2:6" ht="30">
      <c r="B6" s="113" t="s">
        <v>421</v>
      </c>
      <c r="C6" s="133" t="s">
        <v>369</v>
      </c>
      <c r="D6" s="133" t="s">
        <v>139</v>
      </c>
      <c r="E6" s="133" t="s">
        <v>1133</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5546875" style="117" customWidth="1"/>
    <col min="6" max="6" width="8.88671875" style="117"/>
    <col min="7" max="7" width="21.554687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6.950000000000003" customHeight="1">
      <c r="A1" s="115" t="s">
        <v>1033</v>
      </c>
      <c r="B1" s="115"/>
      <c r="C1" s="115"/>
      <c r="D1" s="115"/>
      <c r="E1" s="115"/>
      <c r="F1" s="115"/>
      <c r="G1" s="115"/>
      <c r="H1" s="115"/>
    </row>
    <row r="2" spans="1:9" s="118" customFormat="1" ht="78.75" customHeight="1">
      <c r="A2" s="239" t="s">
        <v>1034</v>
      </c>
      <c r="B2" s="239"/>
      <c r="C2" s="239"/>
      <c r="D2" s="239"/>
      <c r="E2" s="239"/>
      <c r="F2" s="239"/>
      <c r="G2" s="239"/>
      <c r="H2" s="239"/>
    </row>
    <row r="3" spans="1:9" s="118" customFormat="1" ht="24.75" customHeight="1">
      <c r="A3" s="238" t="s">
        <v>23</v>
      </c>
      <c r="B3" s="238"/>
      <c r="D3" s="238" t="s">
        <v>1035</v>
      </c>
      <c r="E3" s="238"/>
      <c r="G3" s="238" t="s">
        <v>1036</v>
      </c>
      <c r="H3" s="238"/>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1082</v>
      </c>
      <c r="D2" s="108">
        <v>43460</v>
      </c>
      <c r="E2" s="112">
        <v>43461</v>
      </c>
      <c r="F2" s="108">
        <v>43460</v>
      </c>
      <c r="G2" s="108">
        <v>43463</v>
      </c>
      <c r="H2" s="106">
        <v>2</v>
      </c>
    </row>
    <row r="3" spans="1:8">
      <c r="A3" s="110" t="s">
        <v>958</v>
      </c>
      <c r="B3" s="109" t="s">
        <v>829</v>
      </c>
      <c r="C3" s="108" t="s">
        <v>1127</v>
      </c>
      <c r="D3" s="108">
        <v>43461</v>
      </c>
      <c r="E3" s="112">
        <v>43479</v>
      </c>
      <c r="F3" s="108">
        <v>43460</v>
      </c>
      <c r="G3" s="108">
        <v>43463</v>
      </c>
      <c r="H3" s="106">
        <v>0.75</v>
      </c>
    </row>
    <row r="4" spans="1:8">
      <c r="A4" s="110" t="s">
        <v>958</v>
      </c>
      <c r="B4" s="109" t="s">
        <v>829</v>
      </c>
      <c r="C4" s="108" t="s">
        <v>1084</v>
      </c>
      <c r="D4" s="108">
        <v>43461</v>
      </c>
      <c r="E4" s="112">
        <v>43479</v>
      </c>
      <c r="F4" s="108">
        <v>43460</v>
      </c>
      <c r="G4" s="108">
        <v>43463</v>
      </c>
      <c r="H4" s="106">
        <v>0.75</v>
      </c>
    </row>
    <row r="5" spans="1:8">
      <c r="A5" s="110" t="s">
        <v>958</v>
      </c>
      <c r="B5" s="109" t="s">
        <v>829</v>
      </c>
      <c r="C5" s="108" t="s">
        <v>1128</v>
      </c>
      <c r="D5" s="108">
        <v>43461</v>
      </c>
      <c r="E5" s="112">
        <v>43479</v>
      </c>
      <c r="F5" s="108">
        <v>43460</v>
      </c>
      <c r="G5" s="108">
        <v>43463</v>
      </c>
      <c r="H5" s="106">
        <v>0.75</v>
      </c>
    </row>
    <row r="6" spans="1:8">
      <c r="A6" s="110" t="s">
        <v>958</v>
      </c>
      <c r="B6" s="109" t="s">
        <v>829</v>
      </c>
      <c r="C6" s="108" t="s">
        <v>1129</v>
      </c>
      <c r="D6" s="108">
        <v>43461</v>
      </c>
      <c r="E6" s="112">
        <v>43479</v>
      </c>
      <c r="F6" s="108">
        <v>43460</v>
      </c>
      <c r="G6" s="108">
        <v>43463</v>
      </c>
      <c r="H6" s="106">
        <v>0.75</v>
      </c>
    </row>
    <row r="7" spans="1:8">
      <c r="A7" s="110" t="s">
        <v>958</v>
      </c>
      <c r="B7" s="109" t="s">
        <v>829</v>
      </c>
      <c r="C7" s="108" t="s">
        <v>1127</v>
      </c>
      <c r="D7" s="108">
        <v>43461</v>
      </c>
      <c r="E7" s="112">
        <v>43479</v>
      </c>
      <c r="F7" s="108">
        <v>43464</v>
      </c>
      <c r="G7" s="108">
        <v>43470</v>
      </c>
      <c r="H7" s="106">
        <v>1.75</v>
      </c>
    </row>
    <row r="8" spans="1:8">
      <c r="A8" s="110" t="s">
        <v>958</v>
      </c>
      <c r="B8" s="109" t="s">
        <v>829</v>
      </c>
      <c r="C8" s="108" t="s">
        <v>1084</v>
      </c>
      <c r="D8" s="108">
        <v>43461</v>
      </c>
      <c r="E8" s="112">
        <v>43479</v>
      </c>
      <c r="F8" s="108">
        <v>43464</v>
      </c>
      <c r="G8" s="108">
        <v>43470</v>
      </c>
      <c r="H8" s="106">
        <v>1.75</v>
      </c>
    </row>
    <row r="9" spans="1:8">
      <c r="A9" s="110" t="s">
        <v>958</v>
      </c>
      <c r="B9" s="109" t="s">
        <v>829</v>
      </c>
      <c r="C9" s="108" t="s">
        <v>1128</v>
      </c>
      <c r="D9" s="108">
        <v>43461</v>
      </c>
      <c r="E9" s="112">
        <v>43479</v>
      </c>
      <c r="F9" s="108">
        <v>43464</v>
      </c>
      <c r="G9" s="108">
        <v>43470</v>
      </c>
      <c r="H9" s="106">
        <v>1.75</v>
      </c>
    </row>
    <row r="10" spans="1:8">
      <c r="A10" s="110" t="s">
        <v>958</v>
      </c>
      <c r="B10" s="109" t="s">
        <v>829</v>
      </c>
      <c r="C10" s="108" t="s">
        <v>1129</v>
      </c>
      <c r="D10" s="108">
        <v>43461</v>
      </c>
      <c r="E10" s="112">
        <v>43479</v>
      </c>
      <c r="F10" s="108">
        <v>43464</v>
      </c>
      <c r="G10" s="108">
        <v>43470</v>
      </c>
      <c r="H10" s="106">
        <v>1.75</v>
      </c>
    </row>
    <row r="11" spans="1:8">
      <c r="A11" s="110" t="s">
        <v>958</v>
      </c>
      <c r="B11" s="109" t="s">
        <v>829</v>
      </c>
      <c r="C11" s="108" t="s">
        <v>1127</v>
      </c>
      <c r="D11" s="108">
        <v>43461</v>
      </c>
      <c r="E11" s="112">
        <v>43479</v>
      </c>
      <c r="F11" s="108">
        <v>43471</v>
      </c>
      <c r="G11" s="108">
        <v>43477</v>
      </c>
      <c r="H11" s="106">
        <v>1.75</v>
      </c>
    </row>
    <row r="12" spans="1:8">
      <c r="A12" s="110" t="s">
        <v>958</v>
      </c>
      <c r="B12" s="109" t="s">
        <v>829</v>
      </c>
      <c r="C12" s="108" t="s">
        <v>1084</v>
      </c>
      <c r="D12" s="108">
        <v>43461</v>
      </c>
      <c r="E12" s="112">
        <v>43479</v>
      </c>
      <c r="F12" s="108">
        <v>43471</v>
      </c>
      <c r="G12" s="108">
        <v>43477</v>
      </c>
      <c r="H12" s="106">
        <v>1.75</v>
      </c>
    </row>
    <row r="13" spans="1:8">
      <c r="A13" s="110" t="s">
        <v>958</v>
      </c>
      <c r="B13" s="109" t="s">
        <v>829</v>
      </c>
      <c r="C13" s="108" t="s">
        <v>1128</v>
      </c>
      <c r="D13" s="108">
        <v>43461</v>
      </c>
      <c r="E13" s="112">
        <v>43479</v>
      </c>
      <c r="F13" s="108">
        <v>43471</v>
      </c>
      <c r="G13" s="108">
        <v>43477</v>
      </c>
      <c r="H13" s="106">
        <v>1.75</v>
      </c>
    </row>
    <row r="14" spans="1:8">
      <c r="A14" s="110" t="s">
        <v>958</v>
      </c>
      <c r="B14" s="109" t="s">
        <v>829</v>
      </c>
      <c r="C14" s="108" t="s">
        <v>1129</v>
      </c>
      <c r="D14" s="108">
        <v>43461</v>
      </c>
      <c r="E14" s="112">
        <v>43479</v>
      </c>
      <c r="F14" s="108">
        <v>43471</v>
      </c>
      <c r="G14" s="108">
        <v>43477</v>
      </c>
      <c r="H14" s="106">
        <v>1.75</v>
      </c>
    </row>
    <row r="15" spans="1:8">
      <c r="A15" s="110" t="s">
        <v>958</v>
      </c>
      <c r="B15" s="109" t="s">
        <v>829</v>
      </c>
      <c r="C15" s="108" t="s">
        <v>1127</v>
      </c>
      <c r="D15" s="108">
        <v>43461</v>
      </c>
      <c r="E15" s="112">
        <v>43479</v>
      </c>
      <c r="F15" s="108">
        <v>43478</v>
      </c>
      <c r="G15" s="108">
        <v>43484</v>
      </c>
      <c r="H15" s="106">
        <v>0.5</v>
      </c>
    </row>
    <row r="16" spans="1:8">
      <c r="A16" s="110" t="s">
        <v>958</v>
      </c>
      <c r="B16" s="109" t="s">
        <v>829</v>
      </c>
      <c r="C16" s="108" t="s">
        <v>1084</v>
      </c>
      <c r="D16" s="108">
        <v>43461</v>
      </c>
      <c r="E16" s="112">
        <v>43479</v>
      </c>
      <c r="F16" s="108">
        <v>43478</v>
      </c>
      <c r="G16" s="108">
        <v>43484</v>
      </c>
      <c r="H16" s="106">
        <v>0.5</v>
      </c>
    </row>
    <row r="17" spans="1:8">
      <c r="A17" s="110" t="s">
        <v>958</v>
      </c>
      <c r="B17" s="109" t="s">
        <v>829</v>
      </c>
      <c r="C17" s="108" t="s">
        <v>1128</v>
      </c>
      <c r="D17" s="108">
        <v>43461</v>
      </c>
      <c r="E17" s="112">
        <v>43479</v>
      </c>
      <c r="F17" s="108">
        <v>43478</v>
      </c>
      <c r="G17" s="108">
        <v>43484</v>
      </c>
      <c r="H17" s="106">
        <v>0.5</v>
      </c>
    </row>
    <row r="18" spans="1:8">
      <c r="A18" s="110" t="s">
        <v>958</v>
      </c>
      <c r="B18" s="109" t="s">
        <v>829</v>
      </c>
      <c r="C18" s="108" t="s">
        <v>1129</v>
      </c>
      <c r="D18" s="108">
        <v>43461</v>
      </c>
      <c r="E18" s="112">
        <v>43479</v>
      </c>
      <c r="F18" s="108">
        <v>43478</v>
      </c>
      <c r="G18" s="108">
        <v>43484</v>
      </c>
      <c r="H18" s="106">
        <v>0.5</v>
      </c>
    </row>
    <row r="19" spans="1:8">
      <c r="A19" s="110" t="s">
        <v>959</v>
      </c>
      <c r="B19" s="109" t="s">
        <v>827</v>
      </c>
      <c r="C19" s="108" t="s">
        <v>1082</v>
      </c>
      <c r="D19" s="108">
        <v>43479</v>
      </c>
      <c r="E19" s="112">
        <v>43480</v>
      </c>
      <c r="F19" s="108">
        <v>43478</v>
      </c>
      <c r="G19" s="108">
        <v>43484</v>
      </c>
      <c r="H19" s="106">
        <v>2</v>
      </c>
    </row>
    <row r="20" spans="1:8">
      <c r="A20" s="110" t="s">
        <v>960</v>
      </c>
      <c r="B20" s="109" t="s">
        <v>924</v>
      </c>
      <c r="C20" s="108" t="s">
        <v>1127</v>
      </c>
      <c r="D20" s="108">
        <v>43516</v>
      </c>
      <c r="E20" s="112">
        <v>43518</v>
      </c>
      <c r="F20" s="108">
        <v>43513</v>
      </c>
      <c r="G20" s="108">
        <v>43519</v>
      </c>
      <c r="H20" s="106">
        <v>0.75</v>
      </c>
    </row>
    <row r="21" spans="1:8">
      <c r="A21" s="110" t="s">
        <v>960</v>
      </c>
      <c r="B21" s="109" t="s">
        <v>924</v>
      </c>
      <c r="C21" s="108" t="s">
        <v>1084</v>
      </c>
      <c r="D21" s="108">
        <v>43516</v>
      </c>
      <c r="E21" s="112">
        <v>43518</v>
      </c>
      <c r="F21" s="108">
        <v>43513</v>
      </c>
      <c r="G21" s="108">
        <v>43519</v>
      </c>
      <c r="H21" s="106">
        <v>0.75</v>
      </c>
    </row>
    <row r="22" spans="1:8">
      <c r="A22" s="110" t="s">
        <v>960</v>
      </c>
      <c r="B22" s="109" t="s">
        <v>924</v>
      </c>
      <c r="C22" s="108" t="s">
        <v>1128</v>
      </c>
      <c r="D22" s="108">
        <v>43516</v>
      </c>
      <c r="E22" s="112">
        <v>43518</v>
      </c>
      <c r="F22" s="108">
        <v>43513</v>
      </c>
      <c r="G22" s="108">
        <v>43519</v>
      </c>
      <c r="H22" s="106">
        <v>0.75</v>
      </c>
    </row>
    <row r="23" spans="1:8">
      <c r="A23" s="110" t="s">
        <v>960</v>
      </c>
      <c r="B23" s="109" t="s">
        <v>924</v>
      </c>
      <c r="C23" s="108" t="s">
        <v>1129</v>
      </c>
      <c r="D23" s="108">
        <v>43516</v>
      </c>
      <c r="E23" s="112">
        <v>43518</v>
      </c>
      <c r="F23" s="108">
        <v>43513</v>
      </c>
      <c r="G23" s="108">
        <v>43519</v>
      </c>
      <c r="H23" s="106">
        <v>0.75</v>
      </c>
    </row>
    <row r="24" spans="1:8">
      <c r="A24" s="110" t="s">
        <v>961</v>
      </c>
      <c r="B24" s="109" t="s">
        <v>925</v>
      </c>
      <c r="C24" s="108" t="s">
        <v>1127</v>
      </c>
      <c r="D24" s="108">
        <v>43577</v>
      </c>
      <c r="E24" s="112">
        <v>43579</v>
      </c>
      <c r="F24" s="108">
        <v>43576</v>
      </c>
      <c r="G24" s="108">
        <v>43582</v>
      </c>
      <c r="H24" s="106">
        <v>0.75</v>
      </c>
    </row>
    <row r="25" spans="1:8">
      <c r="A25" s="110" t="s">
        <v>961</v>
      </c>
      <c r="B25" s="109" t="s">
        <v>925</v>
      </c>
      <c r="C25" s="108" t="s">
        <v>1084</v>
      </c>
      <c r="D25" s="108">
        <v>43577</v>
      </c>
      <c r="E25" s="112">
        <v>43579</v>
      </c>
      <c r="F25" s="108">
        <v>43576</v>
      </c>
      <c r="G25" s="108">
        <v>43582</v>
      </c>
      <c r="H25" s="106">
        <v>0.75</v>
      </c>
    </row>
    <row r="26" spans="1:8">
      <c r="A26" s="110" t="s">
        <v>961</v>
      </c>
      <c r="B26" s="109" t="s">
        <v>925</v>
      </c>
      <c r="C26" s="108" t="s">
        <v>1128</v>
      </c>
      <c r="D26" s="108">
        <v>43577</v>
      </c>
      <c r="E26" s="112">
        <v>43579</v>
      </c>
      <c r="F26" s="108">
        <v>43576</v>
      </c>
      <c r="G26" s="108">
        <v>43582</v>
      </c>
      <c r="H26" s="106">
        <v>0.75</v>
      </c>
    </row>
    <row r="27" spans="1:8">
      <c r="A27" s="110" t="s">
        <v>961</v>
      </c>
      <c r="B27" s="109" t="s">
        <v>925</v>
      </c>
      <c r="C27" s="108" t="s">
        <v>1129</v>
      </c>
      <c r="D27" s="108">
        <v>43577</v>
      </c>
      <c r="E27" s="112">
        <v>43579</v>
      </c>
      <c r="F27" s="108">
        <v>43576</v>
      </c>
      <c r="G27" s="108">
        <v>43582</v>
      </c>
      <c r="H27" s="106">
        <v>0.75</v>
      </c>
    </row>
    <row r="28" spans="1:8">
      <c r="A28" s="110" t="s">
        <v>962</v>
      </c>
      <c r="B28" s="109" t="s">
        <v>926</v>
      </c>
      <c r="C28" s="108" t="s">
        <v>1127</v>
      </c>
      <c r="D28" s="108">
        <v>43544</v>
      </c>
      <c r="E28" s="112">
        <v>43546</v>
      </c>
      <c r="F28" s="108">
        <v>43541</v>
      </c>
      <c r="G28" s="108">
        <v>43547</v>
      </c>
      <c r="H28" s="106">
        <v>0.75</v>
      </c>
    </row>
    <row r="29" spans="1:8">
      <c r="A29" s="110" t="s">
        <v>962</v>
      </c>
      <c r="B29" s="109" t="s">
        <v>926</v>
      </c>
      <c r="C29" s="108" t="s">
        <v>1084</v>
      </c>
      <c r="D29" s="108">
        <v>43544</v>
      </c>
      <c r="E29" s="112">
        <v>43546</v>
      </c>
      <c r="F29" s="108">
        <v>43541</v>
      </c>
      <c r="G29" s="108">
        <v>43547</v>
      </c>
      <c r="H29" s="106">
        <v>0.75</v>
      </c>
    </row>
    <row r="30" spans="1:8">
      <c r="A30" s="110" t="s">
        <v>962</v>
      </c>
      <c r="B30" s="109" t="s">
        <v>926</v>
      </c>
      <c r="C30" s="108" t="s">
        <v>1128</v>
      </c>
      <c r="D30" s="108">
        <v>43544</v>
      </c>
      <c r="E30" s="112">
        <v>43546</v>
      </c>
      <c r="F30" s="108">
        <v>43541</v>
      </c>
      <c r="G30" s="108">
        <v>43547</v>
      </c>
      <c r="H30" s="106">
        <v>0.75</v>
      </c>
    </row>
    <row r="31" spans="1:8">
      <c r="A31" s="110" t="s">
        <v>962</v>
      </c>
      <c r="B31" s="109" t="s">
        <v>926</v>
      </c>
      <c r="C31" s="108" t="s">
        <v>1129</v>
      </c>
      <c r="D31" s="108">
        <v>43544</v>
      </c>
      <c r="E31" s="112">
        <v>43546</v>
      </c>
      <c r="F31" s="108">
        <v>43541</v>
      </c>
      <c r="G31" s="108">
        <v>43547</v>
      </c>
      <c r="H31" s="106">
        <v>0.75</v>
      </c>
    </row>
    <row r="32" spans="1:8">
      <c r="A32" s="110" t="s">
        <v>963</v>
      </c>
      <c r="B32" s="109" t="s">
        <v>928</v>
      </c>
      <c r="C32" s="108" t="s">
        <v>1082</v>
      </c>
      <c r="D32" s="108">
        <v>43579</v>
      </c>
      <c r="E32" s="112">
        <v>43582</v>
      </c>
      <c r="F32" s="108">
        <v>43576</v>
      </c>
      <c r="G32" s="108">
        <v>43582</v>
      </c>
      <c r="H32" s="106">
        <v>4</v>
      </c>
    </row>
    <row r="33" spans="1:8">
      <c r="A33" s="110" t="s">
        <v>964</v>
      </c>
      <c r="B33" s="109" t="s">
        <v>929</v>
      </c>
      <c r="C33" s="108" t="s">
        <v>1082</v>
      </c>
      <c r="D33" s="108">
        <v>43586</v>
      </c>
      <c r="E33" s="112">
        <v>43586</v>
      </c>
      <c r="F33" s="108">
        <v>43583</v>
      </c>
      <c r="G33" s="108">
        <v>43589</v>
      </c>
      <c r="H33" s="106">
        <v>1</v>
      </c>
    </row>
    <row r="34" spans="1:8">
      <c r="A34" s="110" t="s">
        <v>965</v>
      </c>
      <c r="B34" s="109" t="s">
        <v>930</v>
      </c>
      <c r="C34" s="108" t="s">
        <v>1082</v>
      </c>
      <c r="D34" s="108">
        <v>43582</v>
      </c>
      <c r="E34" s="112">
        <v>43586</v>
      </c>
      <c r="F34" s="108">
        <v>43576</v>
      </c>
      <c r="G34" s="108">
        <v>43582</v>
      </c>
      <c r="H34" s="106">
        <v>1</v>
      </c>
    </row>
    <row r="35" spans="1:8">
      <c r="A35" s="110" t="s">
        <v>965</v>
      </c>
      <c r="B35" s="109" t="s">
        <v>930</v>
      </c>
      <c r="C35" s="108" t="s">
        <v>1082</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1128</v>
      </c>
      <c r="D54" s="108">
        <v>43480</v>
      </c>
      <c r="E54" s="112">
        <v>43496</v>
      </c>
      <c r="F54" s="108">
        <v>43478</v>
      </c>
      <c r="G54" s="108">
        <v>43484</v>
      </c>
      <c r="H54" s="106">
        <v>2.5</v>
      </c>
    </row>
    <row r="55" spans="1:8">
      <c r="A55" s="110" t="s">
        <v>969</v>
      </c>
      <c r="B55" s="109" t="s">
        <v>937</v>
      </c>
      <c r="C55" s="108" t="s">
        <v>1129</v>
      </c>
      <c r="D55" s="108">
        <v>43480</v>
      </c>
      <c r="E55" s="112">
        <v>43496</v>
      </c>
      <c r="F55" s="108">
        <v>43478</v>
      </c>
      <c r="G55" s="108">
        <v>43484</v>
      </c>
      <c r="H55" s="106">
        <v>2.5</v>
      </c>
    </row>
    <row r="56" spans="1:8">
      <c r="A56" s="110" t="s">
        <v>969</v>
      </c>
      <c r="B56" s="109" t="s">
        <v>937</v>
      </c>
      <c r="C56" s="108" t="s">
        <v>1128</v>
      </c>
      <c r="D56" s="108">
        <v>43480</v>
      </c>
      <c r="E56" s="112">
        <v>43496</v>
      </c>
      <c r="F56" s="108">
        <v>43485</v>
      </c>
      <c r="G56" s="108">
        <v>43491</v>
      </c>
      <c r="H56" s="106">
        <v>3.5</v>
      </c>
    </row>
    <row r="57" spans="1:8">
      <c r="A57" s="110" t="s">
        <v>969</v>
      </c>
      <c r="B57" s="109" t="s">
        <v>937</v>
      </c>
      <c r="C57" s="108" t="s">
        <v>1129</v>
      </c>
      <c r="D57" s="108">
        <v>43480</v>
      </c>
      <c r="E57" s="112">
        <v>43496</v>
      </c>
      <c r="F57" s="108">
        <v>43485</v>
      </c>
      <c r="G57" s="108">
        <v>43491</v>
      </c>
      <c r="H57" s="106">
        <v>3.5</v>
      </c>
    </row>
    <row r="58" spans="1:8">
      <c r="A58" s="110" t="s">
        <v>969</v>
      </c>
      <c r="B58" s="109" t="s">
        <v>937</v>
      </c>
      <c r="C58" s="108" t="s">
        <v>1128</v>
      </c>
      <c r="D58" s="108">
        <v>43480</v>
      </c>
      <c r="E58" s="112">
        <v>43496</v>
      </c>
      <c r="F58" s="108">
        <v>43492</v>
      </c>
      <c r="G58" s="108">
        <v>43498</v>
      </c>
      <c r="H58" s="106">
        <v>2.5</v>
      </c>
    </row>
    <row r="59" spans="1:8">
      <c r="A59" s="110" t="s">
        <v>969</v>
      </c>
      <c r="B59" s="109" t="s">
        <v>937</v>
      </c>
      <c r="C59" s="108" t="s">
        <v>1129</v>
      </c>
      <c r="D59" s="108">
        <v>43480</v>
      </c>
      <c r="E59" s="112">
        <v>43496</v>
      </c>
      <c r="F59" s="108">
        <v>43492</v>
      </c>
      <c r="G59" s="108">
        <v>43498</v>
      </c>
      <c r="H59" s="106">
        <v>2.5</v>
      </c>
    </row>
    <row r="60" spans="1:8">
      <c r="A60" s="110" t="s">
        <v>970</v>
      </c>
      <c r="B60" s="109" t="s">
        <v>939</v>
      </c>
      <c r="C60" s="108" t="s">
        <v>1082</v>
      </c>
      <c r="D60" s="108">
        <v>43480</v>
      </c>
      <c r="E60" s="112">
        <v>43496</v>
      </c>
      <c r="F60" s="108">
        <v>43478</v>
      </c>
      <c r="G60" s="108">
        <v>43484</v>
      </c>
      <c r="H60" s="106">
        <v>5</v>
      </c>
    </row>
    <row r="61" spans="1:8">
      <c r="A61" s="110" t="s">
        <v>970</v>
      </c>
      <c r="B61" s="109" t="s">
        <v>939</v>
      </c>
      <c r="C61" s="108" t="s">
        <v>1082</v>
      </c>
      <c r="D61" s="108">
        <v>43480</v>
      </c>
      <c r="E61" s="112">
        <v>43496</v>
      </c>
      <c r="F61" s="108">
        <v>43485</v>
      </c>
      <c r="G61" s="108">
        <v>43491</v>
      </c>
      <c r="H61" s="106">
        <v>7</v>
      </c>
    </row>
    <row r="62" spans="1:8">
      <c r="A62" s="110" t="s">
        <v>970</v>
      </c>
      <c r="B62" s="109" t="s">
        <v>939</v>
      </c>
      <c r="C62" s="108" t="s">
        <v>1082</v>
      </c>
      <c r="D62" s="108">
        <v>43480</v>
      </c>
      <c r="E62" s="112">
        <v>43496</v>
      </c>
      <c r="F62" s="108">
        <v>43492</v>
      </c>
      <c r="G62" s="108">
        <v>43498</v>
      </c>
      <c r="H62" s="106">
        <v>5</v>
      </c>
    </row>
    <row r="63" spans="1:8">
      <c r="A63" s="110" t="s">
        <v>971</v>
      </c>
      <c r="B63" s="109" t="s">
        <v>940</v>
      </c>
      <c r="C63" s="108" t="s">
        <v>1084</v>
      </c>
      <c r="D63" s="108">
        <v>43480</v>
      </c>
      <c r="E63" s="112">
        <v>43496</v>
      </c>
      <c r="F63" s="108">
        <v>43478</v>
      </c>
      <c r="G63" s="108">
        <v>43484</v>
      </c>
      <c r="H63" s="106">
        <v>5</v>
      </c>
    </row>
    <row r="64" spans="1:8">
      <c r="A64" s="110" t="s">
        <v>971</v>
      </c>
      <c r="B64" s="109" t="s">
        <v>940</v>
      </c>
      <c r="C64" s="108" t="s">
        <v>1084</v>
      </c>
      <c r="D64" s="108">
        <v>43480</v>
      </c>
      <c r="E64" s="112">
        <v>43496</v>
      </c>
      <c r="F64" s="108">
        <v>43485</v>
      </c>
      <c r="G64" s="108">
        <v>43491</v>
      </c>
      <c r="H64" s="106">
        <v>7</v>
      </c>
    </row>
    <row r="65" spans="1:8">
      <c r="A65" s="110" t="s">
        <v>971</v>
      </c>
      <c r="B65" s="109" t="s">
        <v>940</v>
      </c>
      <c r="C65" s="108" t="s">
        <v>1084</v>
      </c>
      <c r="D65" s="108">
        <v>43480</v>
      </c>
      <c r="E65" s="112">
        <v>43496</v>
      </c>
      <c r="F65" s="108">
        <v>43492</v>
      </c>
      <c r="G65" s="108">
        <v>43498</v>
      </c>
      <c r="H65" s="106">
        <v>5</v>
      </c>
    </row>
    <row r="66" spans="1:8">
      <c r="A66" s="110" t="s">
        <v>972</v>
      </c>
      <c r="B66" s="109" t="s">
        <v>941</v>
      </c>
      <c r="C66" s="108" t="s">
        <v>1085</v>
      </c>
      <c r="D66" s="108">
        <v>43480</v>
      </c>
      <c r="E66" s="112">
        <v>43496</v>
      </c>
      <c r="F66" s="108">
        <v>43478</v>
      </c>
      <c r="G66" s="108">
        <v>43484</v>
      </c>
      <c r="H66" s="106">
        <v>5</v>
      </c>
    </row>
    <row r="67" spans="1:8">
      <c r="A67" s="110" t="s">
        <v>972</v>
      </c>
      <c r="B67" s="109" t="s">
        <v>941</v>
      </c>
      <c r="C67" s="108" t="s">
        <v>1085</v>
      </c>
      <c r="D67" s="108">
        <v>43480</v>
      </c>
      <c r="E67" s="112">
        <v>43496</v>
      </c>
      <c r="F67" s="108">
        <v>43485</v>
      </c>
      <c r="G67" s="108">
        <v>43491</v>
      </c>
      <c r="H67" s="106">
        <v>7</v>
      </c>
    </row>
    <row r="68" spans="1:8">
      <c r="A68" s="110" t="s">
        <v>972</v>
      </c>
      <c r="B68" s="109" t="s">
        <v>941</v>
      </c>
      <c r="C68" s="108" t="s">
        <v>1085</v>
      </c>
      <c r="D68" s="108">
        <v>43480</v>
      </c>
      <c r="E68" s="112">
        <v>43496</v>
      </c>
      <c r="F68" s="108">
        <v>43492</v>
      </c>
      <c r="G68" s="108">
        <v>43498</v>
      </c>
      <c r="H68" s="106">
        <v>5</v>
      </c>
    </row>
    <row r="69" spans="1:8">
      <c r="A69" s="110" t="s">
        <v>973</v>
      </c>
      <c r="B69" s="109" t="s">
        <v>943</v>
      </c>
      <c r="C69" s="108" t="s">
        <v>1082</v>
      </c>
      <c r="D69" s="108">
        <v>43496</v>
      </c>
      <c r="E69" s="112">
        <v>43501</v>
      </c>
      <c r="F69" s="108">
        <v>43492</v>
      </c>
      <c r="G69" s="108">
        <v>43498</v>
      </c>
      <c r="H69" s="106">
        <v>0.6</v>
      </c>
    </row>
    <row r="70" spans="1:8">
      <c r="A70" s="110" t="s">
        <v>973</v>
      </c>
      <c r="B70" s="109" t="s">
        <v>943</v>
      </c>
      <c r="C70" s="108" t="s">
        <v>1085</v>
      </c>
      <c r="D70" s="108">
        <v>43496</v>
      </c>
      <c r="E70" s="112">
        <v>43501</v>
      </c>
      <c r="F70" s="108">
        <v>43492</v>
      </c>
      <c r="G70" s="108">
        <v>43498</v>
      </c>
      <c r="H70" s="106">
        <v>0.6</v>
      </c>
    </row>
    <row r="71" spans="1:8">
      <c r="A71" s="110" t="s">
        <v>973</v>
      </c>
      <c r="B71" s="109" t="s">
        <v>943</v>
      </c>
      <c r="C71" s="108" t="s">
        <v>1084</v>
      </c>
      <c r="D71" s="108">
        <v>43496</v>
      </c>
      <c r="E71" s="112">
        <v>43501</v>
      </c>
      <c r="F71" s="108">
        <v>43492</v>
      </c>
      <c r="G71" s="108">
        <v>43498</v>
      </c>
      <c r="H71" s="106">
        <v>0.6</v>
      </c>
    </row>
    <row r="72" spans="1:8">
      <c r="A72" s="110" t="s">
        <v>973</v>
      </c>
      <c r="B72" s="109" t="s">
        <v>943</v>
      </c>
      <c r="C72" s="108" t="s">
        <v>1128</v>
      </c>
      <c r="D72" s="108">
        <v>43496</v>
      </c>
      <c r="E72" s="112">
        <v>43501</v>
      </c>
      <c r="F72" s="108">
        <v>43492</v>
      </c>
      <c r="G72" s="108">
        <v>43498</v>
      </c>
      <c r="H72" s="106">
        <v>0.6</v>
      </c>
    </row>
    <row r="73" spans="1:8">
      <c r="A73" s="110" t="s">
        <v>973</v>
      </c>
      <c r="B73" s="109" t="s">
        <v>943</v>
      </c>
      <c r="C73" s="108" t="s">
        <v>1129</v>
      </c>
      <c r="D73" s="108">
        <v>43496</v>
      </c>
      <c r="E73" s="112">
        <v>43501</v>
      </c>
      <c r="F73" s="108">
        <v>43492</v>
      </c>
      <c r="G73" s="108">
        <v>43498</v>
      </c>
      <c r="H73" s="106">
        <v>0.6</v>
      </c>
    </row>
    <row r="74" spans="1:8">
      <c r="A74" s="110" t="s">
        <v>973</v>
      </c>
      <c r="B74" s="109" t="s">
        <v>943</v>
      </c>
      <c r="C74" s="108" t="s">
        <v>1082</v>
      </c>
      <c r="D74" s="108">
        <v>43496</v>
      </c>
      <c r="E74" s="112">
        <v>43501</v>
      </c>
      <c r="F74" s="108">
        <v>43499</v>
      </c>
      <c r="G74" s="108">
        <v>43505</v>
      </c>
      <c r="H74" s="106">
        <v>0.6</v>
      </c>
    </row>
    <row r="75" spans="1:8">
      <c r="A75" s="110" t="s">
        <v>973</v>
      </c>
      <c r="B75" s="109" t="s">
        <v>943</v>
      </c>
      <c r="C75" s="108" t="s">
        <v>1085</v>
      </c>
      <c r="D75" s="108">
        <v>43496</v>
      </c>
      <c r="E75" s="112">
        <v>43501</v>
      </c>
      <c r="F75" s="108">
        <v>43499</v>
      </c>
      <c r="G75" s="108">
        <v>43505</v>
      </c>
      <c r="H75" s="106">
        <v>0.6</v>
      </c>
    </row>
    <row r="76" spans="1:8">
      <c r="A76" s="110" t="s">
        <v>973</v>
      </c>
      <c r="B76" s="109" t="s">
        <v>943</v>
      </c>
      <c r="C76" s="108" t="s">
        <v>1084</v>
      </c>
      <c r="D76" s="108">
        <v>43496</v>
      </c>
      <c r="E76" s="112">
        <v>43501</v>
      </c>
      <c r="F76" s="108">
        <v>43499</v>
      </c>
      <c r="G76" s="108">
        <v>43505</v>
      </c>
      <c r="H76" s="106">
        <v>0.6</v>
      </c>
    </row>
    <row r="77" spans="1:8">
      <c r="A77" s="110" t="s">
        <v>973</v>
      </c>
      <c r="B77" s="109" t="s">
        <v>943</v>
      </c>
      <c r="C77" s="108" t="s">
        <v>1128</v>
      </c>
      <c r="D77" s="108">
        <v>43496</v>
      </c>
      <c r="E77" s="112">
        <v>43501</v>
      </c>
      <c r="F77" s="108">
        <v>43499</v>
      </c>
      <c r="G77" s="108">
        <v>43505</v>
      </c>
      <c r="H77" s="106">
        <v>0.6</v>
      </c>
    </row>
    <row r="78" spans="1:8">
      <c r="A78" s="110" t="s">
        <v>973</v>
      </c>
      <c r="B78" s="109" t="s">
        <v>943</v>
      </c>
      <c r="C78" s="108" t="s">
        <v>1129</v>
      </c>
      <c r="D78" s="108">
        <v>43496</v>
      </c>
      <c r="E78" s="112">
        <v>43501</v>
      </c>
      <c r="F78" s="108">
        <v>43499</v>
      </c>
      <c r="G78" s="108">
        <v>43505</v>
      </c>
      <c r="H78" s="106">
        <v>0.6</v>
      </c>
    </row>
    <row r="79" spans="1:8">
      <c r="A79" s="110" t="s">
        <v>974</v>
      </c>
      <c r="B79" s="109" t="s">
        <v>946</v>
      </c>
      <c r="C79" s="108" t="s">
        <v>1082</v>
      </c>
      <c r="D79" s="108">
        <v>43501</v>
      </c>
      <c r="E79" s="112">
        <v>43502</v>
      </c>
      <c r="F79" s="108">
        <v>43499</v>
      </c>
      <c r="G79" s="108">
        <v>43505</v>
      </c>
      <c r="H79" s="106">
        <v>0.4</v>
      </c>
    </row>
    <row r="80" spans="1:8">
      <c r="A80" s="110" t="s">
        <v>974</v>
      </c>
      <c r="B80" s="109" t="s">
        <v>946</v>
      </c>
      <c r="C80" s="108" t="s">
        <v>1085</v>
      </c>
      <c r="D80" s="108">
        <v>43501</v>
      </c>
      <c r="E80" s="112">
        <v>43502</v>
      </c>
      <c r="F80" s="108">
        <v>43499</v>
      </c>
      <c r="G80" s="108">
        <v>43505</v>
      </c>
      <c r="H80" s="106">
        <v>0.4</v>
      </c>
    </row>
    <row r="81" spans="1:8">
      <c r="A81" s="110" t="s">
        <v>974</v>
      </c>
      <c r="B81" s="109" t="s">
        <v>946</v>
      </c>
      <c r="C81" s="108" t="s">
        <v>1084</v>
      </c>
      <c r="D81" s="108">
        <v>43501</v>
      </c>
      <c r="E81" s="112">
        <v>43502</v>
      </c>
      <c r="F81" s="108">
        <v>43499</v>
      </c>
      <c r="G81" s="108">
        <v>43505</v>
      </c>
      <c r="H81" s="106">
        <v>0.4</v>
      </c>
    </row>
    <row r="82" spans="1:8">
      <c r="A82" s="110" t="s">
        <v>974</v>
      </c>
      <c r="B82" s="109" t="s">
        <v>946</v>
      </c>
      <c r="C82" s="108" t="s">
        <v>1128</v>
      </c>
      <c r="D82" s="108">
        <v>43501</v>
      </c>
      <c r="E82" s="112">
        <v>43502</v>
      </c>
      <c r="F82" s="108">
        <v>43499</v>
      </c>
      <c r="G82" s="108">
        <v>43505</v>
      </c>
      <c r="H82" s="106">
        <v>0.4</v>
      </c>
    </row>
    <row r="83" spans="1:8">
      <c r="A83" s="110" t="s">
        <v>974</v>
      </c>
      <c r="B83" s="109" t="s">
        <v>946</v>
      </c>
      <c r="C83" s="108" t="s">
        <v>1129</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5546875" style="2" bestFit="1" customWidth="1"/>
    <col min="6" max="6" width="29.21875" style="2" bestFit="1" customWidth="1"/>
    <col min="7" max="7" width="27.33203125" style="5" customWidth="1"/>
    <col min="8" max="8" width="23.5546875" style="5" bestFit="1" customWidth="1"/>
    <col min="9" max="9" width="21.109375" style="5" bestFit="1" customWidth="1"/>
    <col min="10" max="10" width="24.5546875" style="5" bestFit="1" customWidth="1"/>
    <col min="11" max="11" width="5.77734375" style="5" bestFit="1" customWidth="1"/>
    <col min="12" max="12" width="17.88671875" style="5" bestFit="1" customWidth="1"/>
    <col min="13" max="13" width="14.554687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1081</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1185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5546875" style="89" bestFit="1" customWidth="1"/>
    <col min="3" max="3" width="13.5546875" style="89" bestFit="1" customWidth="1"/>
    <col min="4" max="4" width="52.554687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2019-03-12T01:42:18Z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