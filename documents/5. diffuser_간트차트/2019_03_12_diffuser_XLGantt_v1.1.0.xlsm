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mc:AlternateContent xmlns:mc="http://schemas.openxmlformats.org/markup-compatibility/2006">
    <mc:Choice Requires="x15">
      <x15ac:absPath xmlns:x15ac="http://schemas.microsoft.com/office/spreadsheetml/2010/11/ac" url="D:\capston\Sentiment_Diffuser\documents\5. diffuser_간트차트\"/>
    </mc:Choice>
  </mc:AlternateContent>
  <bookViews>
    <workbookView xWindow="-120" yWindow="-120" windowWidth="24240" windowHeight="13290" tabRatio="61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functionGroups builtInGroupCount="18"/>
  <definedNames>
    <definedName name="_xlnm._FilterDatabase" localSheetId="0" hidden="1">Schedule!$A$1:$AB$92</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62913"/>
  <customWorkbookViews>
    <customWorkbookView name="a - 사용자 보기" guid="{0B810681-CC81-4141-9F16-24B3FD4F0FB8}" mergeInterval="0" personalView="1" maximized="1" windowWidth="1276" windowHeight="860" tabRatio="748" activeSheetId="1"/>
    <customWorkbookView name="aji - 사용자 보기" guid="{45F170B6-3544-43F8-BFC7-D657B723AABC}" mergeInterval="0" personalView="1" maximized="1" windowWidth="1268" windowHeight="765" tabRatio="748" activeSheetId="1" showComments="commIndAndComment"/>
    <customWorkbookView name="user - 사용자 보기" guid="{CD147E05-78AB-4F1A-996E-7FAB0BB4629B}" mergeInterval="0" personalView="1" maximized="1" windowWidth="1020" windowHeight="623" tabRatio="748" activeSheetId="2"/>
    <customWorkbookView name="박승현 - 사용자 보기" guid="{96DEAA77-2828-4E97-975A-CF93EF5D9712}" mergeInterval="0" personalView="1" maximized="1" windowWidth="1020" windowHeight="623" tabRatio="748" activeSheetId="1"/>
    <customWorkbookView name="SeungkunLee - 사용자 보기" guid="{C7B87852-3417-4B82-AD8F-04929FC46960}" mergeInterval="0" personalView="1" maximized="1" windowWidth="1676" windowHeight="878" tabRatio="636" activeSheetId="5"/>
    <customWorkbookView name="seokiljun - 사용자 보기" guid="{B4798534-C27D-422C-BD87-0A71D9C8BAA9}" mergeInterval="0" personalView="1" maximized="1" windowWidth="1020" windowHeight="525" tabRatio="748" activeSheetId="1"/>
    <customWorkbookView name="Tequila - 사용자 보기" guid="{AF9F6769-16BA-4444-B539-537212F9672A}" mergeInterval="0" personalView="1" maximized="1" windowWidth="1676" windowHeight="856" tabRatio="530" activeSheetId="1"/>
    <customWorkbookView name="IT0177 - 사용자 보기" guid="{F8F33EAC-6737-4237-A48D-05833D89E8C9}" mergeInterval="0" personalView="1" maximized="1" windowWidth="1676" windowHeight="845" tabRatio="748" activeSheetId="1"/>
    <customWorkbookView name="thjung - 사용자 보기" guid="{6C04A49A-6140-42F5-B660-358F3428D555}" mergeInterval="0" personalView="1" maximized="1" windowWidth="1399" windowHeight="768" tabRatio="530" activeSheetId="1"/>
    <customWorkbookView name="Sora Joung - 사용자 보기" guid="{0A64F8D9-59E4-4471-A54B-AB6085820F8B}" mergeInterval="0" personalView="1" maximized="1" windowWidth="1306" windowHeight="829" tabRatio="748" activeSheetId="1" showComments="commIndAndComment"/>
  </customWorkbookViews>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M42" i="1"/>
  <c r="DN42" i="1"/>
  <c r="W43" i="1"/>
  <c r="DN43" i="1"/>
  <c r="DO43" i="1"/>
  <c r="W44" i="1"/>
  <c r="DO44" i="1"/>
  <c r="DP44" i="1"/>
  <c r="W45" i="1"/>
  <c r="DP45" i="1"/>
  <c r="DQ45" i="1"/>
  <c r="S46" i="1"/>
  <c r="W46" i="1"/>
  <c r="FE46" i="1"/>
  <c r="FF46" i="1"/>
  <c r="W47" i="1"/>
  <c r="DR47" i="1"/>
  <c r="DS47" i="1"/>
  <c r="W48" i="1"/>
  <c r="DR48" i="1"/>
  <c r="DS48" i="1"/>
  <c r="W49" i="1"/>
  <c r="DS49" i="1"/>
  <c r="DT49" i="1"/>
  <c r="W50" i="1"/>
  <c r="DT50" i="1"/>
  <c r="DU50" i="1"/>
  <c r="W51" i="1"/>
  <c r="DU51" i="1"/>
  <c r="DV51" i="1"/>
  <c r="W52" i="1"/>
  <c r="DV52" i="1"/>
  <c r="DW52" i="1"/>
  <c r="W53" i="1"/>
  <c r="DW53" i="1"/>
  <c r="DX53" i="1"/>
  <c r="W54" i="1"/>
  <c r="EL54" i="1"/>
  <c r="EM54" i="1"/>
  <c r="W55" i="1"/>
  <c r="DF55" i="1"/>
  <c r="DG55" i="1"/>
  <c r="W56" i="1"/>
  <c r="DF56" i="1"/>
  <c r="DG56" i="1"/>
  <c r="W57" i="1"/>
  <c r="DF57" i="1"/>
  <c r="DG57" i="1"/>
  <c r="W58" i="1"/>
  <c r="DF58" i="1"/>
  <c r="DG58" i="1"/>
  <c r="S59" i="1"/>
  <c r="W59" i="1"/>
  <c r="FE59" i="1"/>
  <c r="FF59" i="1"/>
  <c r="W60" i="1"/>
  <c r="DL60" i="1"/>
  <c r="DM60" i="1"/>
  <c r="W61" i="1"/>
  <c r="DL61" i="1"/>
  <c r="DM61" i="1"/>
  <c r="W62" i="1"/>
  <c r="DS62" i="1"/>
  <c r="DT62" i="1"/>
  <c r="W63" i="1"/>
  <c r="DZ63" i="1"/>
  <c r="EA63" i="1"/>
  <c r="W64" i="1"/>
  <c r="EG64" i="1"/>
  <c r="EH64" i="1"/>
  <c r="S65" i="1"/>
  <c r="W65" i="1"/>
  <c r="EU65" i="1"/>
  <c r="EV65" i="1"/>
  <c r="S66" i="1"/>
  <c r="W66" i="1"/>
  <c r="FK66" i="1"/>
  <c r="FL66" i="1"/>
  <c r="W67" i="1"/>
  <c r="DF67" i="1"/>
  <c r="DG67" i="1"/>
  <c r="W68" i="1"/>
  <c r="EL68" i="1"/>
  <c r="EM68" i="1"/>
  <c r="W69" i="1"/>
  <c r="EL69" i="1"/>
  <c r="EM69" i="1"/>
  <c r="W70" i="1"/>
  <c r="DF70" i="1"/>
  <c r="DG70" i="1"/>
  <c r="W71" i="1"/>
  <c r="DO71" i="1"/>
  <c r="DP71" i="1"/>
  <c r="W72" i="1"/>
  <c r="DY72" i="1"/>
  <c r="DZ72" i="1"/>
  <c r="S73" i="1"/>
  <c r="W73" i="1"/>
  <c r="FE73" i="1"/>
  <c r="FF73" i="1"/>
  <c r="S74" i="1"/>
  <c r="W74" i="1"/>
  <c r="FP74" i="1"/>
  <c r="FQ74" i="1"/>
  <c r="W75" i="1"/>
  <c r="DF75" i="1"/>
  <c r="DG75" i="1"/>
  <c r="W76" i="1"/>
  <c r="EL76" i="1"/>
  <c r="EM76" i="1"/>
  <c r="W77" i="1"/>
  <c r="EL77" i="1"/>
  <c r="EM77" i="1"/>
  <c r="W78" i="1"/>
  <c r="DF78" i="1"/>
  <c r="DG78" i="1"/>
  <c r="W79" i="1"/>
  <c r="DO79" i="1"/>
  <c r="DP79" i="1"/>
  <c r="W80" i="1"/>
  <c r="DY80" i="1"/>
  <c r="DZ80" i="1"/>
  <c r="S81" i="1"/>
  <c r="W81" i="1"/>
  <c r="FE81" i="1"/>
  <c r="FF81" i="1"/>
  <c r="S82" i="1"/>
  <c r="W82" i="1"/>
  <c r="FP82" i="1"/>
  <c r="FQ82" i="1"/>
  <c r="S83" i="1"/>
  <c r="W83" i="1"/>
  <c r="HV83" i="1"/>
  <c r="HW83" i="1"/>
  <c r="S84" i="1"/>
  <c r="W84" i="1"/>
  <c r="HV84" i="1"/>
  <c r="HW84" i="1"/>
  <c r="S85" i="1"/>
  <c r="W85" i="1"/>
  <c r="HV85" i="1"/>
  <c r="HW85" i="1"/>
  <c r="S86" i="1"/>
  <c r="W86" i="1"/>
  <c r="IB86" i="1"/>
  <c r="IC86" i="1"/>
  <c r="S87" i="1"/>
  <c r="W87" i="1"/>
  <c r="IB87" i="1"/>
  <c r="IC87" i="1"/>
  <c r="S88" i="1"/>
  <c r="W88" i="1"/>
  <c r="IB88" i="1"/>
  <c r="IC88" i="1"/>
  <c r="S89" i="1"/>
  <c r="W89" i="1"/>
  <c r="IC89" i="1"/>
  <c r="ID89" i="1"/>
  <c r="S90" i="1"/>
  <c r="W90" i="1"/>
  <c r="IC90" i="1"/>
  <c r="ID90" i="1"/>
  <c r="S91" i="1"/>
  <c r="W91" i="1"/>
  <c r="IC91" i="1"/>
  <c r="ID91" i="1"/>
  <c r="S92" i="1"/>
  <c r="W92" i="1"/>
  <c r="IH92" i="1"/>
  <c r="II92" i="1"/>
  <c r="R38" i="1"/>
  <c r="R10" i="1"/>
  <c r="R67" i="1"/>
  <c r="R32" i="1"/>
  <c r="S75" i="1"/>
  <c r="R53" i="1"/>
  <c r="W7" i="1"/>
  <c r="R50" i="1"/>
  <c r="R92" i="1"/>
  <c r="R63" i="1"/>
  <c r="R36" i="1"/>
  <c r="R76" i="1"/>
  <c r="R41" i="1"/>
  <c r="R91" i="1"/>
  <c r="R23" i="1"/>
  <c r="R56" i="1"/>
  <c r="W9" i="1"/>
  <c r="S37" i="1"/>
  <c r="R46" i="1"/>
  <c r="R19" i="1"/>
  <c r="R75" i="1"/>
  <c r="R40" i="1"/>
  <c r="R80" i="1"/>
  <c r="S56" i="1"/>
  <c r="R9" i="1"/>
  <c r="R58" i="1"/>
  <c r="R6" i="1"/>
  <c r="R71" i="1"/>
  <c r="S39" i="1"/>
  <c r="R84" i="1"/>
  <c r="R49" i="1"/>
  <c r="R18" i="1"/>
  <c r="R79" i="1"/>
  <c r="R8" i="1"/>
  <c r="R57" i="1"/>
  <c r="R21" i="1"/>
  <c r="S69" i="1"/>
  <c r="R65" i="1"/>
  <c r="R70" i="1"/>
  <c r="R69" i="1"/>
  <c r="R52" i="1"/>
  <c r="S67" i="1"/>
  <c r="S76" i="1"/>
  <c r="R54" i="1"/>
  <c r="R27" i="1"/>
  <c r="R83" i="1"/>
  <c r="S43" i="1"/>
  <c r="R12" i="1"/>
  <c r="R61" i="1"/>
  <c r="R66" i="1"/>
  <c r="R14" i="1"/>
  <c r="R44" i="1"/>
  <c r="R35" i="1"/>
  <c r="S64" i="1"/>
  <c r="R89" i="1"/>
  <c r="S47" i="1"/>
  <c r="R43" i="1"/>
  <c r="R26" i="1"/>
  <c r="S68" i="1"/>
  <c r="R47" i="1"/>
  <c r="R62" i="1"/>
  <c r="R48" i="1"/>
  <c r="S21" i="1"/>
  <c r="S11" i="1"/>
  <c r="R5" i="1"/>
  <c r="R29" i="1"/>
  <c r="R31" i="1"/>
  <c r="R86" i="1"/>
  <c r="S40" i="1"/>
  <c r="R33" i="1"/>
  <c r="R13" i="1"/>
  <c r="R78" i="1"/>
  <c r="R51" i="1"/>
  <c r="R7" i="1"/>
  <c r="R64" i="1"/>
  <c r="R37" i="1"/>
  <c r="R77" i="1"/>
  <c r="R34" i="1"/>
  <c r="S77" i="1"/>
  <c r="R39" i="1"/>
  <c r="R11" i="1"/>
  <c r="S55" i="1"/>
  <c r="R25" i="1"/>
  <c r="R73" i="1"/>
  <c r="R22" i="1"/>
  <c r="S54" i="1"/>
  <c r="R60" i="1"/>
  <c r="R30" i="1"/>
  <c r="S5" i="1"/>
  <c r="R59" i="1"/>
  <c r="R24" i="1"/>
  <c r="R72" i="1"/>
  <c r="R45" i="1"/>
  <c r="R87" i="1"/>
  <c r="R42" i="1"/>
  <c r="R90" i="1"/>
  <c r="R55" i="1"/>
  <c r="R28" i="1"/>
  <c r="R68" i="1"/>
  <c r="S36" i="1"/>
  <c r="R81" i="1"/>
  <c r="R88" i="1"/>
  <c r="R74" i="1"/>
  <c r="R17" i="1"/>
  <c r="R15" i="1"/>
  <c r="R85" i="1"/>
  <c r="R82" i="1"/>
  <c r="R20" i="1"/>
  <c r="S57" i="1" l="1"/>
  <c r="S49" i="1"/>
  <c r="S33" i="1"/>
  <c r="S25" i="1"/>
  <c r="S8" i="1"/>
  <c r="S60" i="1"/>
  <c r="S52" i="1"/>
  <c r="S44" i="1"/>
  <c r="S28" i="1"/>
  <c r="S79" i="1"/>
  <c r="S71" i="1"/>
  <c r="S63" i="1"/>
  <c r="S31" i="1"/>
  <c r="S23" i="1"/>
  <c r="S6" i="1"/>
  <c r="S58" i="1"/>
  <c r="S50" i="1"/>
  <c r="S34" i="1"/>
  <c r="S26" i="1"/>
  <c r="S9" i="1"/>
  <c r="S61" i="1"/>
  <c r="S53" i="1"/>
  <c r="S45" i="1"/>
  <c r="S29" i="1"/>
  <c r="S12" i="1"/>
  <c r="S80" i="1"/>
  <c r="S72" i="1"/>
  <c r="S48" i="1"/>
  <c r="S32" i="1"/>
  <c r="S24" i="1"/>
  <c r="S7" i="1"/>
  <c r="S51" i="1"/>
  <c r="S35" i="1"/>
  <c r="S27" i="1"/>
  <c r="S10" i="1"/>
  <c r="S78" i="1"/>
  <c r="S70" i="1"/>
  <c r="S62" i="1"/>
  <c r="S38" i="1"/>
  <c r="S30" i="1"/>
  <c r="S22" i="1"/>
  <c r="S42" i="1"/>
  <c r="S41" i="1"/>
  <c r="D18" i="29" l="1"/>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D1" i="1"/>
  <c r="AB2" i="1"/>
  <c r="AB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<sst xmlns="http://schemas.openxmlformats.org/spreadsheetml/2006/main" count="1585" uniqueCount="1186">
  <si>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</si>
  <si>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</si>
  <si>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</si>
  <si>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</si>
  <si>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</si>
  <si>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</si>
  <si>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</si>
  <si>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</si>
  <si>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</si>
  <si>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</si>
  <si>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</si>
  <si>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</si>
  <si>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</si>
  <si>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</si>
  <si>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</si>
  <si>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</si>
  <si>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</si>
  <si>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</si>
  <si>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</si>
  <si>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</si>
  <si>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</si>
  <si>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</si>
  <si>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</si>
  <si>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</si>
  <si>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</si>
  <si>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</si>
  <si>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</si>
  <si>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</si>
  <si>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</si>
  <si>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</si>
  <si>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</si>
  <si>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</si>
  <si>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</si>
  <si>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</si>
  <si>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</si>
  <si>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</si>
  <si>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</si>
  <si>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</si>
  <si>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</si>
  <si>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</si>
  <si>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</si>
  <si>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</si>
  <si>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</si>
  <si>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</si>
  <si>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</si>
  <si>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</si>
  <si>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</si>
  <si>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</si>
  <si>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</si>
  <si>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</si>
  <si>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</si>
  <si>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</si>
  <si>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</si>
  <si>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</si>
  <si>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</si>
  <si>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</si>
  <si>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</si>
  <si>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</si>
  <si>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</si>
  <si>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</si>
  <si>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</si>
  <si>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</si>
  <si>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</si>
  <si>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</si>
  <si>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</si>
  <si>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</si>
  <si>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</si>
  <si>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</si>
  <si>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</si>
  <si>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</si>
  <si>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</si>
  <si>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</si>
  <si>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</si>
  <si>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</si>
  <si>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</si>
  <si>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</si>
  <si>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</si>
  <si>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</si>
  <si>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</si>
  <si>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</si>
  <si>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</si>
  <si>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</si>
  <si>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</si>
  <si>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</si>
  <si>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</si>
  <si>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</si>
  <si>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</si>
  <si>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</si>
  <si>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</si>
  <si>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</si>
  <si>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</si>
  <si>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</si>
  <si>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</si>
  <si>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</si>
  <si>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</si>
  <si>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</si>
  <si>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</si>
  <si>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</si>
  <si>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</si>
  <si>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</si>
  <si>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</si>
  <si>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</si>
  <si>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</si>
  <si>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</si>
  <si>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</si>
  <si>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</si>
  <si>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</si>
  <si>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</si>
  <si>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</si>
  <si>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</si>
  <si>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</si>
  <si>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</si>
  <si>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</si>
  <si>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</si>
  <si>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</si>
  <si>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</si>
  <si>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</si>
  <si>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</si>
  <si>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</si>
  <si>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</si>
  <si>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</si>
  <si>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</si>
  <si>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</si>
  <si>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</si>
  <si>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</si>
  <si>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</si>
  <si>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</si>
  <si>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</si>
  <si>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</si>
  <si>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</si>
  <si>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</si>
  <si>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</si>
  <si>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</si>
  <si>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</si>
  <si>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</si>
  <si>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</si>
  <si>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</si>
  <si>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</si>
  <si>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</si>
  <si>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</si>
  <si>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</si>
  <si>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</si>
  <si>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</si>
  <si>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</si>
  <si>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</si>
  <si>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</si>
  <si>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</si>
  <si>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</si>
  <si>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</si>
  <si>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</si>
  <si>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</si>
  <si>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</si>
  <si>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</si>
  <si>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</si>
  <si>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</si>
  <si>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</si>
  <si>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</si>
  <si>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</si>
  <si>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</si>
  <si>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</si>
  <si>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</si>
  <si>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</si>
  <si>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</si>
  <si>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</si>
  <si>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</si>
  <si>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</si>
  <si>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</si>
  <si>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</si>
  <si>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</si>
  <si>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</si>
  <si>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</si>
  <si>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</si>
  <si>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</si>
  <si>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</si>
  <si>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</si>
  <si>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</si>
  <si>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</si>
  <si>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</si>
  <si>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</si>
  <si>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</si>
  <si>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</si>
  <si>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</si>
  <si>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</si>
  <si>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</si>
  <si>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</si>
  <si>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</si>
  <si>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</si>
  <si>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</si>
  <si>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</si>
  <si>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</si>
  <si>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</si>
  <si>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</si>
  <si>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</si>
  <si>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</si>
  <si>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</si>
  <si>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</si>
  <si>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</si>
  <si>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</si>
  <si>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</si>
  <si>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</si>
  <si>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</si>
  <si>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</si>
  <si>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</si>
  <si>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</si>
  <si>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</si>
  <si>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</si>
  <si>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</si>
  <si>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</si>
  <si>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</si>
  <si>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</si>
  <si>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</si>
  <si>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</si>
  <si>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</si>
  <si>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</si>
  <si>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</si>
  <si>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</si>
  <si>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</si>
  <si>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</si>
  <si>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</si>
  <si>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</si>
  <si>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</si>
  <si>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</si>
  <si>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</si>
  <si>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</si>
  <si>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</si>
  <si>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</si>
  <si>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</si>
  <si>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</si>
  <si>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</si>
  <si>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</si>
  <si>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</si>
  <si>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</si>
  <si>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</si>
  <si>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</si>
  <si>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</si>
  <si>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</si>
  <si>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</si>
  <si>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</si>
  <si>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</si>
  <si>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</si>
  <si>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</si>
  <si>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</si>
  <si>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</si>
  <si>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</si>
  <si>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</si>
  <si>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</si>
  <si>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</si>
  <si>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</si>
  <si>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</si>
  <si>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</si>
  <si>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</si>
  <si>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</si>
  <si>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</si>
  <si>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</si>
  <si>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</si>
  <si>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</si>
  <si>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</si>
  <si>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</si>
  <si>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</si>
  <si>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</si>
  <si>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</si>
  <si>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</si>
  <si>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</si>
  <si>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</si>
  <si>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</si>
  <si>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</si>
  <si>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</si>
  <si>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</si>
  <si>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</si>
  <si>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</si>
  <si>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</si>
  <si>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</si>
  <si>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</si>
  <si>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</si>
  <si>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</si>
  <si>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</si>
  <si>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</si>
  <si>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</si>
  <si>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</si>
  <si>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</si>
  <si>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</si>
  <si>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</si>
  <si>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</si>
  <si>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</si>
  <si>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</si>
  <si>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</si>
  <si>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</si>
  <si>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</si>
  <si>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</si>
  <si>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</si>
  <si>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</si>
  <si>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</si>
  <si>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</si>
  <si>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</si>
  <si>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</si>
  <si>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</si>
  <si>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</si>
  <si>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</si>
  <si>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</si>
  <si>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</si>
  <si>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</si>
  <si>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</si>
  <si>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</si>
  <si>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</si>
  <si>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</si>
  <si>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</si>
  <si>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</si>
  <si>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</si>
  <si>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</si>
  <si>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</si>
  <si>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</si>
  <si>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</si>
  <si>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</si>
  <si>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</si>
  <si>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</si>
  <si>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</si>
  <si>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</si>
  <si>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</si>
  <si>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</si>
  <si>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</si>
  <si>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</si>
  <si>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</si>
  <si>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</si>
  <si>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</si>
  <si>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</si>
  <si>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</si>
  <si>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</si>
  <si>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</si>
  <si>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</si>
  <si>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</si>
  <si>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</si>
  <si>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</si>
  <si>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</si>
  <si>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</si>
  <si>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</si>
  <si>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</si>
  <si>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</si>
  <si>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</si>
  <si>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</si>
  <si>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</si>
  <si>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</si>
  <si>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</si>
  <si>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</si>
  <si>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</si>
  <si>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</si>
  <si>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</si>
  <si>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</si>
  <si>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</si>
  <si>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</si>
  <si>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</si>
  <si>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</si>
  <si>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</si>
  <si>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</si>
  <si>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</si>
  <si>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</si>
  <si>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</si>
  <si>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</si>
  <si>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</si>
  <si>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</si>
  <si>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</si>
  <si>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</si>
  <si>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</si>
  <si>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</si>
  <si>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</si>
  <si>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</si>
  <si>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</si>
  <si>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</si>
  <si>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</si>
  <si>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</si>
  <si>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</si>
  <si>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</si>
  <si>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</si>
  <si>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</si>
  <si>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</si>
  <si>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</si>
  <si>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</si>
  <si>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</si>
  <si>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</si>
  <si>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</si>
  <si>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</si>
  <si>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</si>
  <si>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</si>
  <si>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</si>
  <si>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</si>
  <si>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</si>
  <si>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</si>
  <si>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</si>
  <si>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</si>
  <si>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</si>
  <si>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</si>
  <si>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</si>
  <si>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</si>
  <si>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</si>
  <si>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</si>
  <si>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</si>
  <si>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</si>
  <si>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</si>
  <si>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</si>
  <si>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</si>
  <si>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</si>
  <si>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</si>
  <si>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</si>
  <si>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</si>
  <si>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</si>
  <si>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</si>
  <si>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</si>
  <si>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</si>
  <si>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</si>
  <si>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</si>
  <si>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</si>
  <si>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</si>
  <si>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</si>
  <si>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</si>
  <si>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</si>
  <si>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</si>
  <si>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</si>
  <si>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</si>
  <si>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</si>
  <si>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</si>
  <si>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</si>
  <si>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</si>
  <si>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</si>
  <si>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</si>
  <si>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</si>
  <si>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</si>
  <si>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</si>
  <si>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</si>
  <si>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</si>
  <si>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</si>
  <si>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</si>
  <si>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</si>
  <si>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</si>
  <si>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</si>
  <si>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</si>
  <si>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</si>
  <si>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</si>
  <si>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</si>
  <si>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</si>
  <si>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</si>
  <si>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</si>
  <si>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</si>
  <si>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</si>
  <si>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</si>
  <si>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</si>
  <si>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</si>
  <si>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</si>
  <si>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</si>
  <si>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</si>
  <si>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</si>
  <si>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</si>
  <si>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</si>
  <si>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</si>
  <si>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</si>
  <si>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</si>
  <si>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</si>
  <si>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</si>
  <si>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</si>
  <si>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</si>
  <si>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</si>
  <si>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</si>
  <si>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</si>
  <si>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</si>
  <si>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</si>
  <si>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</si>
  <si>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</si>
  <si>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</si>
  <si>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</si>
  <si>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</si>
  <si>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</si>
  <si>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</si>
  <si>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</si>
  <si>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</si>
  <si>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</si>
  <si>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</si>
  <si>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</si>
  <si>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</si>
  <si>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</si>
  <si>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</si>
  <si>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</si>
  <si>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</si>
  <si>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</si>
  <si>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</si>
  <si>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</si>
  <si>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</si>
  <si>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</si>
  <si>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</si>
  <si>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</si>
  <si>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</si>
  <si>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</si>
  <si>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</si>
  <si>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</si>
  <si>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</si>
  <si>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</si>
  <si>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</si>
  <si>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</si>
  <si>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</si>
  <si>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</si>
  <si>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</si>
  <si>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</si>
  <si>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</si>
  <si>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</si>
  <si>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</si>
  <si>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</si>
  <si>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</si>
  <si>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</si>
  <si>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</si>
  <si>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</si>
  <si>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</si>
  <si>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</si>
  <si>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</si>
  <si>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</si>
  <si>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</si>
  <si>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</si>
  <si>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</si>
  <si>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</si>
  <si>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</si>
  <si>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</si>
  <si>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</si>
  <si>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</si>
  <si>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</si>
  <si>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</si>
  <si>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</si>
  <si>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</si>
  <si>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</si>
  <si>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</si>
  <si>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</si>
  <si>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</si>
  <si>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</si>
  <si>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</si>
  <si>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</si>
  <si>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</si>
  <si>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</si>
  <si>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</si>
  <si>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</si>
  <si>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</si>
  <si>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</si>
  <si>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</si>
  <si>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</si>
  <si>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</si>
  <si>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</si>
  <si>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</si>
  <si>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</si>
  <si>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</si>
  <si>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</si>
  <si>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</si>
  <si>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</si>
  <si>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</si>
  <si>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</si>
  <si>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</si>
  <si>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</si>
  <si>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</si>
  <si>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</si>
  <si>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</si>
  <si>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</si>
  <si>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</si>
  <si>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</si>
  <si>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</si>
  <si>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</si>
  <si>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</si>
  <si>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</si>
  <si>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</si>
  <si>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</si>
  <si>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</si>
  <si>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</si>
  <si>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</si>
  <si>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</si>
  <si>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</si>
  <si>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</si>
  <si>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</si>
  <si>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</si>
  <si>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</si>
  <si>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</si>
  <si>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</si>
  <si>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</si>
  <si>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</si>
  <si>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</si>
  <si>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</si>
  <si>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</si>
  <si>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</si>
  <si>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</si>
  <si>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</si>
  <si>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</si>
  <si>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</si>
  <si>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</si>
  <si>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</si>
  <si>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</si>
  <si>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</si>
  <si>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</si>
  <si>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</si>
  <si>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</si>
  <si>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</si>
  <si>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</si>
  <si>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</si>
  <si>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</si>
  <si>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</si>
  <si>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</si>
  <si>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</si>
  <si>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</si>
  <si>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</si>
  <si>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</si>
  <si>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</si>
  <si>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</si>
  <si>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</si>
  <si>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</si>
  <si>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</si>
  <si>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</si>
  <si>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</si>
  <si>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</si>
  <si>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</si>
  <si>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</si>
  <si>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</si>
  <si>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</si>
  <si>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</si>
  <si>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</si>
  <si>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</si>
  <si>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</si>
  <si>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</si>
  <si>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</si>
  <si>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</si>
  <si>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</si>
  <si>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</si>
  <si>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</si>
  <si>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</si>
  <si>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</si>
  <si>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</si>
  <si>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</si>
  <si>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</si>
  <si>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</si>
  <si>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</si>
  <si>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</si>
  <si>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</si>
  <si>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</si>
  <si>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</si>
  <si>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</si>
  <si>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</si>
  <si>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</si>
  <si>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</si>
  <si>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</si>
  <si>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</si>
  <si>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</si>
  <si>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</si>
  <si>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</si>
  <si>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</si>
  <si>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</si>
  <si>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</si>
  <si>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</si>
  <si>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</si>
  <si>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</si>
  <si>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</si>
  <si>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</si>
  <si>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</si>
  <si>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</si>
  <si>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</si>
  <si>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</si>
  <si>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</si>
  <si>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</si>
  <si>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</si>
  <si>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</si>
  <si>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</si>
  <si>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</si>
  <si>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</si>
  <si>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</si>
  <si>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</si>
  <si>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</si>
  <si>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</si>
  <si>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</si>
  <si>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</si>
  <si>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</si>
  <si>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</si>
  <si>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</si>
  <si>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</si>
  <si>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</si>
  <si>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</si>
  <si>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</si>
  <si>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</si>
  <si>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</si>
  <si>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</si>
  <si>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</si>
  <si>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</si>
  <si>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</si>
  <si>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</si>
  <si>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</si>
  <si>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</si>
  <si>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</si>
  <si>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</si>
  <si>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</si>
  <si>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</si>
  <si>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</si>
  <si>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</si>
  <si>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</si>
  <si>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</si>
  <si>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</si>
  <si>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</si>
  <si>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</si>
  <si>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</si>
  <si>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</si>
  <si>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</si>
  <si>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</si>
  <si>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</si>
  <si>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</si>
  <si>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</si>
  <si>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</si>
  <si>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</si>
  <si>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</si>
  <si>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</si>
  <si>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</si>
  <si>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</si>
  <si>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</si>
  <si>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</si>
  <si>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</si>
  <si>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</si>
  <si>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</si>
  <si>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</si>
  <si>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</si>
  <si>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</si>
  <si>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</si>
  <si>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</si>
  <si>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</si>
  <si>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</si>
  <si>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</si>
  <si>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</si>
  <si>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</si>
  <si>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</si>
  <si>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</si>
  <si>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</si>
  <si>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</si>
  <si>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</si>
  <si>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</si>
  <si>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</si>
  <si>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</si>
  <si>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</si>
  <si>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</si>
  <si>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</si>
  <si>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</si>
  <si>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</si>
  <si>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</si>
  <si>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</si>
  <si>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</si>
  <si>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</si>
  <si>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</si>
  <si>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</si>
  <si>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</si>
  <si>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</si>
  <si>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</si>
  <si>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</si>
  <si>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</si>
  <si>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</si>
  <si>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</si>
  <si>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</si>
  <si>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</si>
  <si>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</si>
  <si>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</si>
  <si>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</si>
  <si>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</si>
  <si>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</si>
  <si>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</si>
  <si>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</si>
  <si>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</si>
  <si>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</si>
  <si>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</si>
  <si>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</si>
  <si>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</si>
  <si>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</si>
  <si>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</si>
  <si>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</si>
  <si>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</si>
  <si>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</si>
  <si>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</si>
  <si>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</si>
  <si>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</si>
  <si>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</si>
  <si>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</si>
  <si>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</si>
  <si>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</si>
  <si>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</si>
  <si>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</si>
  <si>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</si>
  <si>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</si>
  <si>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</si>
  <si>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</si>
  <si>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</si>
  <si>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</si>
  <si>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</si>
  <si>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</si>
  <si>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</si>
  <si>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</si>
  <si>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</si>
  <si>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</si>
  <si>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</si>
  <si>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</si>
  <si>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</si>
  <si>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</si>
  <si>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</si>
  <si>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</si>
  <si>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</si>
  <si>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</si>
  <si>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</si>
  <si>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</si>
  <si>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</si>
  <si>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</si>
  <si>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</si>
  <si>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</si>
  <si>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</si>
  <si>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</si>
  <si>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</si>
  <si>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</si>
  <si>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</si>
  <si>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</si>
  <si>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</si>
  <si>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</si>
  <si>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</si>
  <si>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</si>
  <si>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</si>
  <si>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</si>
  <si>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</si>
  <si>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</si>
  <si>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</si>
  <si>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</si>
  <si>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</si>
  <si>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</si>
  <si>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</si>
  <si>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</si>
  <si>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</si>
  <si>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</si>
  <si>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</si>
  <si>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</si>
  <si>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</si>
  <si>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</si>
  <si>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</si>
  <si>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</si>
  <si>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</si>
  <si>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</si>
  <si>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</si>
  <si>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</si>
  <si>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</si>
  <si>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</si>
  <si>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</si>
  <si>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</si>
  <si>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</si>
  <si>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</si>
  <si>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</si>
  <si>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</si>
  <si>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</si>
  <si>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</si>
  <si>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</si>
  <si>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</si>
  <si>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</si>
  <si>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</si>
  <si>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</si>
  <si>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</si>
  <si>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</si>
  <si>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</si>
  <si>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</si>
  <si>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</si>
  <si>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</si>
  <si>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</si>
  <si>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</si>
  <si>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</si>
  <si>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</si>
  <si>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</si>
  <si>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</si>
  <si>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</si>
  <si>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</si>
  <si>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</si>
  <si>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</si>
  <si>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</si>
  <si>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</si>
  <si>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</si>
  <si>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</si>
  <si>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</si>
  <si>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</si>
  <si>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</si>
  <si>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</si>
  <si>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</si>
  <si>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</si>
  <si>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</si>
  <si>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</si>
  <si>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</si>
  <si>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</si>
  <si>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</si>
  <si>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</si>
  <si>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</si>
  <si>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</si>
  <si>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</si>
  <si>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</si>
  <si>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</si>
  <si>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</si>
  <si>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</si>
  <si>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</si>
  <si>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</si>
  <si>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</si>
  <si>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</si>
  <si>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</si>
  <si>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</si>
  <si>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</si>
  <si>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</si>
  <si>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</si>
  <si>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</si>
  <si>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</si>
  <si>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</si>
  <si>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</si>
  <si>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</si>
  <si>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</si>
  <si>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</si>
  <si>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</si>
  <si>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</si>
  <si>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</si>
  <si>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</si>
  <si>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</si>
  <si>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</si>
  <si>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</si>
  <si>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</si>
  <si>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</si>
  <si>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</si>
  <si>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</si>
  <si>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</si>
  <si>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</si>
  <si>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</si>
  <si>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</si>
  <si>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</si>
  <si>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</si>
  <si>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</si>
  <si>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</si>
  <si>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</si>
  <si>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</si>
  <si>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</si>
  <si>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</si>
  <si>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</si>
  <si>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</si>
  <si>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</si>
  <si>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</si>
  <si>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</si>
  <si>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</si>
  <si>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</si>
  <si>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</si>
  <si>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</si>
  <si>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</si>
  <si>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</si>
  <si>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</si>
  <si>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</si>
  <si>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</si>
  <si>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</si>
  <si>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</si>
  <si>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</si>
  <si>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</si>
  <si>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</si>
  <si>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</si>
  <si>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</si>
  <si>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</si>
  <si>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</si>
  <si>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</si>
  <si>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</si>
  <si>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</si>
  <si>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</si>
  <si>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</si>
  <si>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</si>
  <si>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</si>
  <si>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</si>
  <si>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</si>
  <si>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</si>
  <si>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</si>
  <si>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</si>
  <si>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</si>
  <si>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</si>
  <si>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</si>
  <si>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</si>
  <si>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</si>
  <si>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</si>
  <si>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</si>
  <si>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</si>
  <si>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</si>
  <si>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</si>
  <si>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</si>
  <si>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</si>
  <si>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</si>
  <si>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</si>
  <si>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</si>
  <si>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</si>
  <si>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</si>
  <si>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</si>
  <si>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</si>
  <si>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</si>
  <si>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</si>
  <si>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</si>
  <si>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</si>
  <si>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</si>
  <si>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</si>
  <si>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</si>
  <si>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</si>
  <si>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</si>
  <si>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</si>
  <si>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</si>
  <si>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</si>
  <si>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</si>
  <si>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</si>
  <si>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</si>
  <si>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</si>
  <si>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</si>
  <si>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</si>
  <si>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</si>
  <si>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</si>
  <si>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</si>
  <si>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</si>
  <si>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</si>
  <si>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</si>
  <si>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</si>
  <si>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</si>
  <si>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</si>
  <si>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</si>
  <si>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</si>
  <si>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</si>
  <si>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</si>
  <si>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</si>
  <si>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</si>
  <si>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</si>
  <si>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</si>
  <si>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</si>
  <si>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</si>
  <si>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</si>
  <si>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</si>
  <si>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</si>
  <si>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</si>
  <si>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</si>
  <si>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</si>
  <si>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</si>
  <si>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</si>
  <si>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</si>
  <si>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</si>
  <si>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</si>
  <si>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</si>
  <si>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</si>
  <si>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</si>
  <si>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</si>
  <si>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</si>
  <si>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</si>
  <si>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</si>
  <si>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</si>
  <si>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</si>
  <si>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</si>
  <si>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</si>
  <si>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</si>
  <si>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</si>
  <si>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</si>
  <si>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</si>
  <si>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</si>
  <si>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</si>
  <si>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</si>
  <si>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</si>
  <si>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</si>
  <si>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</si>
  <si>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</si>
  <si>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</si>
  <si>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</si>
  <si>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</si>
  <si>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</si>
  <si>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</si>
  <si>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</si>
  <si>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</si>
  <si>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</si>
  <si>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</si>
  <si>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</si>
  <si>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</si>
  <si>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</si>
  <si>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</si>
  <si>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</si>
  <si>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</si>
  <si>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</si>
  <si>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</si>
  <si>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</si>
  <si>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</si>
  <si>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</si>
  <si>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</si>
  <si>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</si>
  <si>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</si>
  <si>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</si>
  <si>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</si>
  <si>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</si>
  <si>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</si>
  <si>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</si>
  <si>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</si>
  <si>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</si>
  <si>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</si>
  <si>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</si>
  <si>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</si>
  <si>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</si>
  <si>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</si>
  <si>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</si>
  <si>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</si>
  <si>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</si>
  <si>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</si>
  <si>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</si>
  <si>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</si>
  <si>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</si>
  <si>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</si>
  <si>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</si>
  <si>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</si>
  <si>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</si>
  <si>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</si>
  <si>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</si>
  <si>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</si>
  <si>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</si>
  <si>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</si>
  <si>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2.3.1.2.3.1.1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</si>
  <si>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</si>
  <si>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</si>
  <si>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</si>
  <si>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</si>
  <si>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</si>
  <si>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</si>
  <si>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</si>
  <si>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</si>
  <si>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</si>
  <si>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</si>
  <si>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제품소개</t>
  </si>
  <si>
    <t>디퓨저 설정</t>
  </si>
  <si>
    <t>문의사항</t>
  </si>
  <si>
    <t>디퓨저 판매</t>
  </si>
  <si>
    <t>장바구니</t>
  </si>
  <si>
    <t>검색</t>
  </si>
  <si>
    <t>2.3.1.2.3.1.2</t>
  </si>
  <si>
    <t>2.3.1.2.3.1.3</t>
  </si>
  <si>
    <t>2.3.1.2.3.1.4</t>
  </si>
  <si>
    <t>2.3.1.2.3.1.5</t>
  </si>
  <si>
    <t>2.3.1.2.3.1.6</t>
  </si>
  <si>
    <t>2.3.1.2.3.1.7</t>
  </si>
  <si>
    <t>2.3.1.2.3.1.8</t>
  </si>
  <si>
    <t>2.3.1.2.3.1.9</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</si>
  <si>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</si>
  <si>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</si>
  <si>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</si>
  <si>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</si>
  <si>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</si>
  <si>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</si>
  <si>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</si>
  <si>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</si>
  <si>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</si>
  <si>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</si>
  <si>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</si>
  <si>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</si>
  <si>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</si>
  <si>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</si>
  <si>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</si>
  <si>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</si>
  <si>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</si>
  <si>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</si>
  <si>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</si>
  <si>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</si>
  <si>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2.3.1.2.3.1.10</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</si>
  <si>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</si>
  <si>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</si>
  <si>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</si>
  <si>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</si>
  <si>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</si>
  <si>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</si>
  <si>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</si>
  <si>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</si>
  <si>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</si>
  <si>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</si>
  <si>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</si>
  <si>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</si>
  <si>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</si>
  <si>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</si>
  <si>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</si>
  <si>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</si>
  <si>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</si>
  <si>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</si>
  <si>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</si>
  <si>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</si>
  <si>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</si>
  <si>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</si>
  <si>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</si>
  <si>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</si>
  <si>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</si>
  <si>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</si>
  <si>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</si>
  <si>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</si>
  <si>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</si>
  <si>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</si>
  <si>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</si>
  <si>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</si>
  <si>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</si>
  <si>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</si>
  <si>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2.3.1.2.5.6</t>
  </si>
  <si>
    <t>2.3.1.2.5.7</t>
  </si>
  <si>
    <t>서보민, 금상원,신현빈</t>
  </si>
  <si>
    <t>SCHEDULE_SHEET_POSITION:3545121314151617181920212223242526272829</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</si>
</sst>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_);[Red]\(0.0\)"/>
    <numFmt numFmtId="178" formatCode="0.00_);[Red]\(0.00\)"/>
    <numFmt numFmtId="179" formatCode="0.0"/>
    <numFmt numFmtId="180" formatCode="mm\/dd"/>
  </numFmts>
  <fonts count="41">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0">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2" xfId="1" applyNumberFormat="1" applyFont="1" applyBorder="1" applyAlignment="1"/>
    <xf numFmtId="180" fontId="8" fillId="5" borderId="30" xfId="2" applyNumberFormat="1" applyFont="1" applyFill="1" applyBorder="1" applyAlignment="1">
      <alignment horizontal="center" vertical="center"/>
    </xf>
    <xf numFmtId="180" fontId="8" fillId="5" borderId="31"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0" fontId="8" fillId="6" borderId="4" xfId="0" applyFont="1" applyFill="1" applyBorder="1" applyAlignment="1">
      <alignment horizontal="center" vertical="center"/>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0" fontId="36" fillId="2" borderId="0" xfId="4" applyFont="1" applyFill="1" applyAlignment="1">
      <alignment horizontal="left"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cellStyle name="강조색5" xfId="2" builtinId="45"/>
    <cellStyle name="백분율" xfId="1" builtinId="5"/>
    <cellStyle name="표준" xfId="0" builtinId="0"/>
    <cellStyle name="표준 2" xfId="5"/>
    <cellStyle name="하이퍼링크" xfId="4" builtinId="8"/>
  </cellStyles>
  <dxfs count="8">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border>
        <right style="thin">
          <color rgb="FFFF0000"/>
        </right>
      </border>
    </dxf>
    <dxf>
      <fill>
        <patternFill patternType="lightUp">
          <fgColor rgb="FFFFC000"/>
          <bgColor indexed="65"/>
        </patternFill>
      </fill>
      <border>
        <left/>
        <right/>
        <top style="thin">
          <color theme="1" tint="0.499984740745262"/>
        </top>
        <bottom style="thin">
          <color theme="0" tint="-0.14993743705557422"/>
        </bottom>
      </border>
    </dxf>
    <dxf>
      <fill>
        <patternFill>
          <bgColor rgb="FFA8DFF4"/>
        </patternFill>
      </fill>
      <border>
        <left/>
        <right/>
        <top style="thin">
          <color theme="0" tint="-4.9989318521683403E-2"/>
        </top>
        <bottom style="thin">
          <color theme="0" tint="-4.9989318521683403E-2"/>
        </bottom>
      </border>
    </dxf>
    <dxf>
      <fill>
        <patternFill>
          <bgColor rgb="FFFDE9D9"/>
        </patternFill>
      </fill>
      <border>
        <left/>
        <right/>
        <top style="thin">
          <color rgb="FFFDE9D9"/>
        </top>
        <bottom style="thin">
          <color rgb="FFFDE9D9"/>
        </bottom>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7"/>
      <tableStyleElement type="headerRow" dxfId="6"/>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IL221"/>
  <sheetViews>
    <sheetView tabSelected="1" topLeftCell="AA1" zoomScale="115" zoomScaleNormal="115" zoomScalePageLayoutView="55" workbookViewId="0">
      <pane ySplit="4" topLeftCell="A23" activePane="bottomLeft" state="frozen"/>
      <selection activeCell="D1" sqref="D1"/>
      <selection pane="bottomLeft" activeCell="IE52" sqref="IE52"/>
    </sheetView>
  </sheetViews>
  <sheetFormatPr defaultColWidth="8.88671875" defaultRowHeight="12"/>
  <cols>
    <col min="1" max="1" width="17.6640625" style="30" hidden="1" customWidth="1"/>
    <col min="2" max="2" width="7.44140625" style="30" hidden="1" customWidth="1"/>
    <col min="3" max="3" width="8.33203125" style="30" hidden="1" customWidth="1"/>
    <col min="4" max="4" width="9" style="127" customWidth="1"/>
    <col min="5" max="7" width="2.44140625" style="31" customWidth="1"/>
    <col min="8" max="8" width="4.21875" style="31" customWidth="1"/>
    <col min="9" max="11" width="2.44140625" style="31" customWidth="1"/>
    <col min="12" max="12" width="7.44140625" style="31" customWidth="1"/>
    <col min="13" max="13" width="8.44140625" style="32" customWidth="1"/>
    <col min="14" max="14" width="8.33203125" style="32" customWidth="1"/>
    <col min="15" max="15" width="6.109375" style="31" hidden="1" customWidth="1"/>
    <col min="16" max="16" width="8.77734375" style="33" customWidth="1"/>
    <col min="17" max="17" width="4.5546875" style="33" customWidth="1"/>
    <col min="18" max="18" width="5.5546875" style="34" hidden="1" customWidth="1"/>
    <col min="19" max="19" width="4.21875" style="34" hidden="1" customWidth="1"/>
    <col min="20" max="20" width="11.6640625" style="32" hidden="1" customWidth="1"/>
    <col min="21" max="21" width="12.109375" style="32" hidden="1" customWidth="1"/>
    <col min="22" max="22" width="7.44140625" style="35" hidden="1" customWidth="1"/>
    <col min="23" max="23" width="5.88671875" style="36" hidden="1" customWidth="1"/>
    <col min="24" max="24" width="5.109375" style="37" customWidth="1"/>
    <col min="25" max="25" width="27.109375" style="31" customWidth="1"/>
    <col min="26" max="26" width="15.33203125" style="38" bestFit="1" customWidth="1"/>
    <col min="27" max="27" width="6.21875" style="39" customWidth="1"/>
    <col min="28" max="28" width="6.33203125" style="128" customWidth="1"/>
    <col min="29" max="245" width="0.6640625" style="203" customWidth="1"/>
    <col min="246" max="16384" width="8.88671875" style="203"/>
  </cols>
  <sheetData>
    <row r="1" spans="1:246" s="204" customFormat="1" ht="20.100000000000001" customHeight="1">
      <c r="A1" s="185"/>
      <c r="B1" s="185"/>
      <c r="C1" s="186"/>
      <c r="D1" s="187" t="str">
        <f ca="1">xlgantt.ProjectName()</f>
        <v>감정 디퓨져 프로젝트</v>
      </c>
      <c r="E1" s="188"/>
      <c r="F1" s="188"/>
      <c r="G1" s="188"/>
      <c r="H1" s="188"/>
      <c r="I1" s="188"/>
      <c r="J1" s="188"/>
      <c r="K1" s="188"/>
      <c r="L1" s="188"/>
      <c r="M1" s="188"/>
      <c r="N1" s="189"/>
      <c r="O1" s="190"/>
      <c r="P1" s="191"/>
      <c r="Q1" s="192"/>
      <c r="R1" s="193"/>
      <c r="S1" s="193"/>
      <c r="T1" s="194"/>
      <c r="U1" s="194"/>
      <c r="W1" s="195"/>
      <c r="X1" s="196"/>
      <c r="Y1" s="197"/>
      <c r="Z1" s="197"/>
      <c r="AA1" s="198"/>
      <c r="AB1" s="199" t="str">
        <f ca="1">xlgantt.ProjectProgressString()</f>
        <v>2018-12-26~2019-06-14 [계획:64.72% 실적:0.00%]</v>
      </c>
      <c r="AC1" s="232" t="s">
        <v>1168</v>
      </c>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row>
    <row r="2" spans="1:246" s="204" customFormat="1" ht="15" customHeight="1">
      <c r="A2" s="185"/>
      <c r="B2" s="185"/>
      <c r="C2" s="186"/>
      <c r="D2" s="214"/>
      <c r="E2" s="214"/>
      <c r="F2" s="214"/>
      <c r="G2" s="202"/>
      <c r="H2" s="205"/>
      <c r="I2" s="202"/>
      <c r="J2" s="202"/>
      <c r="K2" s="202"/>
      <c r="L2" s="202"/>
      <c r="M2" s="202"/>
      <c r="N2" s="202"/>
      <c r="O2" s="202"/>
      <c r="P2" s="202"/>
      <c r="Q2" s="202"/>
      <c r="R2" s="202"/>
      <c r="S2" s="202"/>
      <c r="T2" s="202"/>
      <c r="U2" s="202"/>
      <c r="V2" s="202"/>
      <c r="W2" s="202"/>
      <c r="X2" s="202"/>
      <c r="Y2" s="202"/>
      <c r="Z2" s="200"/>
      <c r="AA2" s="201"/>
      <c r="AB2" s="202" t="str">
        <f ca="1">xlgantt.CommentOnHeadArea()</f>
        <v>별(*)표시는 필수입력, 주황색열은 자동계산</v>
      </c>
    </row>
    <row r="3" spans="1:246" s="172" customFormat="1" ht="20.100000000000001" customHeight="1">
      <c r="A3" s="221" t="s">
        <v>1075</v>
      </c>
      <c r="B3" s="216" t="s">
        <v>1076</v>
      </c>
      <c r="C3" s="222" t="s">
        <v>1050</v>
      </c>
      <c r="D3" s="223" t="s">
        <v>1066</v>
      </c>
      <c r="E3" s="224" t="s">
        <v>1071</v>
      </c>
      <c r="F3" s="225"/>
      <c r="G3" s="225"/>
      <c r="H3" s="225"/>
      <c r="I3" s="225"/>
      <c r="J3" s="225"/>
      <c r="K3" s="225"/>
      <c r="L3" s="219" t="s">
        <v>1067</v>
      </c>
      <c r="M3" s="219" t="s">
        <v>1073</v>
      </c>
      <c r="N3" s="219" t="s">
        <v>1072</v>
      </c>
      <c r="O3" s="216" t="s">
        <v>995</v>
      </c>
      <c r="P3" s="217" t="s">
        <v>1068</v>
      </c>
      <c r="Q3" s="217" t="s">
        <v>1070</v>
      </c>
      <c r="R3" s="217" t="s">
        <v>1043</v>
      </c>
      <c r="S3" s="217" t="s">
        <v>1051</v>
      </c>
      <c r="T3" s="218" t="s">
        <v>1077</v>
      </c>
      <c r="U3" s="218" t="s">
        <v>1031</v>
      </c>
      <c r="V3" s="220" t="s">
        <v>1078</v>
      </c>
      <c r="W3" s="215" t="s">
        <v>1065</v>
      </c>
      <c r="X3" s="230" t="s">
        <v>1052</v>
      </c>
      <c r="Y3" s="216" t="s">
        <v>1074</v>
      </c>
      <c r="Z3" s="216" t="s">
        <v>1079</v>
      </c>
      <c r="AA3" s="226" t="s">
        <v>873</v>
      </c>
      <c r="AB3" s="228" t="s">
        <v>1032</v>
      </c>
      <c r="AC3" s="231">
        <v>43415</v>
      </c>
      <c r="AD3" s="212"/>
      <c r="AE3" s="212"/>
      <c r="AF3" s="212"/>
      <c r="AG3" s="212"/>
      <c r="AH3" s="212"/>
      <c r="AI3" s="212"/>
      <c r="AJ3" s="212">
        <v>43422</v>
      </c>
      <c r="AK3" s="212"/>
      <c r="AL3" s="212"/>
      <c r="AM3" s="212"/>
      <c r="AN3" s="212"/>
      <c r="AO3" s="212"/>
      <c r="AP3" s="212"/>
      <c r="AQ3" s="212">
        <v>43429</v>
      </c>
      <c r="AR3" s="212"/>
      <c r="AS3" s="212"/>
      <c r="AT3" s="212"/>
      <c r="AU3" s="212"/>
      <c r="AV3" s="212"/>
      <c r="AW3" s="212"/>
      <c r="AX3" s="212">
        <v>43436</v>
      </c>
      <c r="AY3" s="212"/>
      <c r="AZ3" s="212"/>
      <c r="BA3" s="212"/>
      <c r="BB3" s="212"/>
      <c r="BC3" s="212"/>
      <c r="BD3" s="212"/>
      <c r="BE3" s="212">
        <v>43443</v>
      </c>
      <c r="BF3" s="212"/>
      <c r="BG3" s="212"/>
      <c r="BH3" s="212"/>
      <c r="BI3" s="212"/>
      <c r="BJ3" s="212"/>
      <c r="BK3" s="212"/>
      <c r="BL3" s="212">
        <v>43450</v>
      </c>
      <c r="BM3" s="212"/>
      <c r="BN3" s="212"/>
      <c r="BO3" s="212"/>
      <c r="BP3" s="212"/>
      <c r="BQ3" s="212"/>
      <c r="BR3" s="212"/>
      <c r="BS3" s="212">
        <v>43457</v>
      </c>
      <c r="BT3" s="212"/>
      <c r="BU3" s="212"/>
      <c r="BV3" s="212"/>
      <c r="BW3" s="212"/>
      <c r="BX3" s="212"/>
      <c r="BY3" s="212"/>
      <c r="BZ3" s="212">
        <v>43464</v>
      </c>
      <c r="CA3" s="212"/>
      <c r="CB3" s="212"/>
      <c r="CC3" s="212"/>
      <c r="CD3" s="212"/>
      <c r="CE3" s="212"/>
      <c r="CF3" s="212"/>
      <c r="CG3" s="212">
        <v>43471</v>
      </c>
      <c r="CH3" s="212"/>
      <c r="CI3" s="212"/>
      <c r="CJ3" s="212"/>
      <c r="CK3" s="212"/>
      <c r="CL3" s="212"/>
      <c r="CM3" s="212"/>
      <c r="CN3" s="212">
        <v>43478</v>
      </c>
      <c r="CO3" s="212"/>
      <c r="CP3" s="212"/>
      <c r="CQ3" s="212"/>
      <c r="CR3" s="212"/>
      <c r="CS3" s="212"/>
      <c r="CT3" s="212"/>
      <c r="CU3" s="212">
        <v>43485</v>
      </c>
      <c r="CV3" s="212"/>
      <c r="CW3" s="212"/>
      <c r="CX3" s="212"/>
      <c r="CY3" s="212"/>
      <c r="CZ3" s="212"/>
      <c r="DA3" s="212"/>
      <c r="DB3" s="212">
        <v>43492</v>
      </c>
      <c r="DC3" s="212"/>
      <c r="DD3" s="212"/>
      <c r="DE3" s="212"/>
      <c r="DF3" s="212"/>
      <c r="DG3" s="212"/>
      <c r="DH3" s="212"/>
      <c r="DI3" s="212">
        <v>43499</v>
      </c>
      <c r="DJ3" s="212"/>
      <c r="DK3" s="212"/>
      <c r="DL3" s="212"/>
      <c r="DM3" s="212"/>
      <c r="DN3" s="212"/>
      <c r="DO3" s="212"/>
      <c r="DP3" s="212">
        <v>43506</v>
      </c>
      <c r="DQ3" s="212"/>
      <c r="DR3" s="212"/>
      <c r="DS3" s="212"/>
      <c r="DT3" s="212"/>
      <c r="DU3" s="212"/>
      <c r="DV3" s="212"/>
      <c r="DW3" s="212">
        <v>43513</v>
      </c>
      <c r="DX3" s="212"/>
      <c r="DY3" s="212"/>
      <c r="DZ3" s="212"/>
      <c r="EA3" s="212"/>
      <c r="EB3" s="212"/>
      <c r="EC3" s="212"/>
      <c r="ED3" s="212">
        <v>43520</v>
      </c>
      <c r="EE3" s="212"/>
      <c r="EF3" s="212"/>
      <c r="EG3" s="212"/>
      <c r="EH3" s="212"/>
      <c r="EI3" s="212"/>
      <c r="EJ3" s="212"/>
      <c r="EK3" s="212">
        <v>43527</v>
      </c>
      <c r="EL3" s="212"/>
      <c r="EM3" s="212"/>
      <c r="EN3" s="212"/>
      <c r="EO3" s="212"/>
      <c r="EP3" s="212"/>
      <c r="EQ3" s="212"/>
      <c r="ER3" s="212">
        <v>43534</v>
      </c>
      <c r="ES3" s="212"/>
      <c r="ET3" s="212"/>
      <c r="EU3" s="212"/>
      <c r="EV3" s="212"/>
      <c r="EW3" s="212"/>
      <c r="EX3" s="212"/>
      <c r="EY3" s="212">
        <v>43541</v>
      </c>
      <c r="EZ3" s="212"/>
      <c r="FA3" s="212"/>
      <c r="FB3" s="212"/>
      <c r="FC3" s="212"/>
      <c r="FD3" s="212"/>
      <c r="FE3" s="212"/>
      <c r="FF3" s="212">
        <v>43548</v>
      </c>
      <c r="FG3" s="212"/>
      <c r="FH3" s="212"/>
      <c r="FI3" s="212"/>
      <c r="FJ3" s="212"/>
      <c r="FK3" s="212"/>
      <c r="FL3" s="212"/>
      <c r="FM3" s="212">
        <v>43555</v>
      </c>
      <c r="FN3" s="212"/>
      <c r="FO3" s="212"/>
      <c r="FP3" s="212"/>
      <c r="FQ3" s="212"/>
      <c r="FR3" s="212"/>
      <c r="FS3" s="212"/>
      <c r="FT3" s="212">
        <v>43562</v>
      </c>
      <c r="FU3" s="212"/>
      <c r="FV3" s="212"/>
      <c r="FW3" s="212"/>
      <c r="FX3" s="212"/>
      <c r="FY3" s="212"/>
      <c r="FZ3" s="212"/>
      <c r="GA3" s="212">
        <v>43569</v>
      </c>
      <c r="GB3" s="212"/>
      <c r="GC3" s="212"/>
      <c r="GD3" s="212"/>
      <c r="GE3" s="212"/>
      <c r="GF3" s="212"/>
      <c r="GG3" s="212"/>
      <c r="GH3" s="212">
        <v>43576</v>
      </c>
      <c r="GI3" s="212"/>
      <c r="GJ3" s="212"/>
      <c r="GK3" s="212"/>
      <c r="GL3" s="212"/>
      <c r="GM3" s="212"/>
      <c r="GN3" s="212"/>
      <c r="GO3" s="212">
        <v>43583</v>
      </c>
      <c r="GP3" s="212"/>
      <c r="GQ3" s="212"/>
      <c r="GR3" s="212"/>
      <c r="GS3" s="212"/>
      <c r="GT3" s="212"/>
      <c r="GU3" s="212"/>
      <c r="GV3" s="212">
        <v>43590</v>
      </c>
      <c r="GW3" s="212"/>
      <c r="GX3" s="212"/>
      <c r="GY3" s="212"/>
      <c r="GZ3" s="212"/>
      <c r="HA3" s="212"/>
      <c r="HB3" s="212"/>
      <c r="HC3" s="212">
        <v>43597</v>
      </c>
      <c r="HD3" s="212"/>
      <c r="HE3" s="212"/>
      <c r="HF3" s="212"/>
      <c r="HG3" s="212"/>
      <c r="HH3" s="212"/>
      <c r="HI3" s="212"/>
      <c r="HJ3" s="212">
        <v>43604</v>
      </c>
      <c r="HK3" s="212"/>
      <c r="HL3" s="212"/>
      <c r="HM3" s="212"/>
      <c r="HN3" s="212"/>
      <c r="HO3" s="212"/>
      <c r="HP3" s="212"/>
      <c r="HQ3" s="212">
        <v>43611</v>
      </c>
      <c r="HR3" s="212"/>
      <c r="HS3" s="212"/>
      <c r="HT3" s="212"/>
      <c r="HU3" s="212"/>
      <c r="HV3" s="212"/>
      <c r="HW3" s="212"/>
      <c r="HX3" s="212">
        <v>43618</v>
      </c>
      <c r="HY3" s="212"/>
      <c r="HZ3" s="212"/>
      <c r="IA3" s="212"/>
      <c r="IB3" s="212"/>
      <c r="IC3" s="212"/>
      <c r="ID3" s="212"/>
      <c r="IE3" s="212">
        <v>43625</v>
      </c>
      <c r="IF3" s="212"/>
      <c r="IG3" s="212"/>
      <c r="IH3" s="212"/>
      <c r="II3" s="212"/>
      <c r="IJ3" s="212"/>
      <c r="IK3" s="213"/>
    </row>
    <row r="4" spans="1:246" s="134" customFormat="1" ht="5.0999999999999996" customHeight="1">
      <c r="A4" s="221"/>
      <c r="B4" s="216"/>
      <c r="C4" s="222"/>
      <c r="D4" s="223"/>
      <c r="E4" s="224"/>
      <c r="F4" s="225"/>
      <c r="G4" s="225"/>
      <c r="H4" s="225"/>
      <c r="I4" s="225"/>
      <c r="J4" s="225"/>
      <c r="K4" s="225"/>
      <c r="L4" s="219"/>
      <c r="M4" s="219"/>
      <c r="N4" s="219"/>
      <c r="O4" s="216"/>
      <c r="P4" s="217"/>
      <c r="Q4" s="217"/>
      <c r="R4" s="217"/>
      <c r="S4" s="217"/>
      <c r="T4" s="219"/>
      <c r="U4" s="219"/>
      <c r="V4" s="220"/>
      <c r="W4" s="215"/>
      <c r="X4" s="230"/>
      <c r="Y4" s="216"/>
      <c r="Z4" s="216"/>
      <c r="AA4" s="227"/>
      <c r="AB4" s="229"/>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f ca="1">IF(M5="","0",(N5-M5+1)-COUNTIFS(INDIRECT(getCalendarRange(O5)),"&gt;=" &amp; M5,INDIRECT(getCalendarRange(O5)),"&lt;=" &amp; N5))</f>
        <v>171</v>
      </c>
      <c r="S5" s="150">
        <f ca="1">IF(M5&gt;TODAY(),0,IF(N5&lt;TODAY(),R5,(TODAY()-M5+1)-COUNTIFS(INDIRECT(getCalendarRange(O5)),"&gt;=" &amp; M5,INDIRECT(getCalendarRange(O5)),"&lt;=" &amp; TODAY())))</f>
        <v>77</v>
      </c>
      <c r="T5" s="126"/>
      <c r="U5" s="126"/>
      <c r="V5" s="151">
        <v>0</v>
      </c>
      <c r="W5" s="152" t="str">
        <f ca="1">IF(U5="","0",IF(T5="","0",(U5-T5+1)-COUNTIFS(INDIRECT(getCalendarRange(O5)),"&gt;=" &amp; T5,INDIRECT(getCalendarRange(O5)),"&lt;=" &amp; U5)))</f>
        <v>0</v>
      </c>
      <c r="X5" s="153"/>
      <c r="Y5" s="148"/>
      <c r="Z5" s="154"/>
      <c r="AA5" s="155">
        <v>0.59090909090909094</v>
      </c>
      <c r="AB5" s="156">
        <v>0</v>
      </c>
      <c r="AC5" s="209"/>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f ca="1">IF(M6="","0",(N6-M6+1)-COUNTIFS(INDIRECT(getCalendarRange(O6)),"&gt;=" &amp; M6,INDIRECT(getCalendarRange(O6)),"&lt;=" &amp; N6))</f>
        <v>21</v>
      </c>
      <c r="S6" s="150">
        <f ca="1">IF(M6&gt;TODAY(),0,IF(N6&lt;TODAY(),R6,(TODAY()-M6+1)-COUNTIFS(INDIRECT(getCalendarRange(O6)),"&gt;=" &amp; M6,INDIRECT(getCalendarRange(O6)),"&lt;=" &amp; TODAY())))</f>
        <v>21</v>
      </c>
      <c r="T6" s="126"/>
      <c r="U6" s="126"/>
      <c r="V6" s="151">
        <v>0</v>
      </c>
      <c r="W6" s="152" t="str">
        <f ca="1">IF(U6="","0",IF(T6="","0",(U6-T6+1)-COUNTIFS(INDIRECT(getCalendarRange(O6)),"&gt;=" &amp; T6,INDIRECT(getCalendarRange(O6)),"&lt;=" &amp; U6)))</f>
        <v>0</v>
      </c>
      <c r="X6" s="153"/>
      <c r="Y6" s="148"/>
      <c r="Z6" s="154"/>
      <c r="AA6" s="155">
        <v>1</v>
      </c>
      <c r="AB6" s="156">
        <v>0</v>
      </c>
      <c r="AC6" s="209"/>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f ca="1">IF(M7="","0",(N7-M7+1)-COUNTIFS(INDIRECT(getCalendarRange(O7)),"&gt;=" &amp; M7,INDIRECT(getCalendarRange(O7)),"&lt;=" &amp; N7))</f>
        <v>2</v>
      </c>
      <c r="S7" s="150">
        <f ca="1">IF(M7&gt;TODAY(),0,IF(N7&lt;TODAY(),R7,(TODAY()-M7+1)-COUNTIFS(INDIRECT(getCalendarRange(O7)),"&gt;=" &amp; M7,INDIRECT(getCalendarRange(O7)),"&lt;=" &amp; TODAY())))</f>
        <v>2</v>
      </c>
      <c r="T7" s="126">
        <v>42675</v>
      </c>
      <c r="U7" s="126">
        <v>42676</v>
      </c>
      <c r="V7" s="151">
        <v>2</v>
      </c>
      <c r="W7" s="152">
        <f ca="1">IF(U7="","0",IF(T7="","0",(U7-T7+1)-COUNTIFS(INDIRECT(getCalendarRange(O7)),"&gt;=" &amp; T7,INDIRECT(getCalendarRange(O7)),"&lt;=" &amp; U7)))</f>
        <v>2</v>
      </c>
      <c r="X7" s="153">
        <v>1</v>
      </c>
      <c r="Y7" s="183" t="s">
        <v>1082</v>
      </c>
      <c r="Z7" s="154"/>
      <c r="AA7" s="155">
        <v>1</v>
      </c>
      <c r="AB7" s="156">
        <v>0</v>
      </c>
      <c r="AC7" s="209"/>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f ca="1">IF(M8="","0",(N8-M8+1)-COUNTIFS(INDIRECT(getCalendarRange(O8)),"&gt;=" &amp; M8,INDIRECT(getCalendarRange(O8)),"&lt;=" &amp; N8))</f>
        <v>20</v>
      </c>
      <c r="S8" s="150">
        <f ca="1">IF(M8&gt;TODAY(),0,IF(N8&lt;TODAY(),R8,(TODAY()-M8+1)-COUNTIFS(INDIRECT(getCalendarRange(O8)),"&gt;=" &amp; M8,INDIRECT(getCalendarRange(O8)),"&lt;=" &amp; TODAY())))</f>
        <v>20</v>
      </c>
      <c r="T8" s="126"/>
      <c r="U8" s="126"/>
      <c r="V8" s="151">
        <v>0</v>
      </c>
      <c r="W8" s="152" t="str">
        <f ca="1">IF(U8="","0",IF(T8="","0",(U8-T8+1)-COUNTIFS(INDIRECT(getCalendarRange(O8)),"&gt;=" &amp; T8,INDIRECT(getCalendarRange(O8)),"&lt;=" &amp; U8)))</f>
        <v>0</v>
      </c>
      <c r="X8" s="153"/>
      <c r="Y8" s="183" t="s">
        <v>1083</v>
      </c>
      <c r="Z8" s="154"/>
      <c r="AA8" s="155">
        <v>1</v>
      </c>
      <c r="AB8" s="156">
        <v>0</v>
      </c>
      <c r="AC8" s="209"/>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f ca="1">IF(M9="","0",(N9-M9+1)-COUNTIFS(INDIRECT(getCalendarRange(O9)),"&gt;=" &amp; M9,INDIRECT(getCalendarRange(O9)),"&lt;=" &amp; N9))</f>
        <v>19</v>
      </c>
      <c r="S9" s="150">
        <f ca="1">IF(M9&gt;TODAY(),0,IF(N9&lt;TODAY(),R9,(TODAY()-M9+1)-COUNTIFS(INDIRECT(getCalendarRange(O9)),"&gt;=" &amp; M9,INDIRECT(getCalendarRange(O9)),"&lt;=" &amp; TODAY())))</f>
        <v>19</v>
      </c>
      <c r="T9" s="126">
        <v>42679</v>
      </c>
      <c r="U9" s="126">
        <v>42685</v>
      </c>
      <c r="V9" s="151">
        <v>7</v>
      </c>
      <c r="W9" s="152">
        <f ca="1">IF(U9="","0",IF(T9="","0",(U9-T9+1)-COUNTIFS(INDIRECT(getCalendarRange(O9)),"&gt;=" &amp; T9,INDIRECT(getCalendarRange(O9)),"&lt;=" &amp; U9)))</f>
        <v>7</v>
      </c>
      <c r="X9" s="153">
        <v>1</v>
      </c>
      <c r="Y9" s="183" t="s">
        <v>1083</v>
      </c>
      <c r="Z9" s="154" t="s">
        <v>923</v>
      </c>
      <c r="AA9" s="155">
        <v>1</v>
      </c>
      <c r="AB9" s="156">
        <v>0</v>
      </c>
      <c r="AC9" s="209"/>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f ca="1">IF(M10="","0",(N10-M10+1)-COUNTIFS(INDIRECT(getCalendarRange(O10)),"&gt;=" &amp; M10,INDIRECT(getCalendarRange(O10)),"&lt;=" &amp; N10))</f>
        <v>2</v>
      </c>
      <c r="S10" s="150">
        <f ca="1">IF(M10&gt;TODAY(),0,IF(N10&lt;TODAY(),R10,(TODAY()-M10+1)-COUNTIFS(INDIRECT(getCalendarRange(O10)),"&gt;=" &amp; M10,INDIRECT(getCalendarRange(O10)),"&lt;=" &amp; TODAY())))</f>
        <v>2</v>
      </c>
      <c r="T10" s="126"/>
      <c r="U10" s="126"/>
      <c r="V10" s="151"/>
      <c r="W10" s="152" t="str">
        <f ca="1">IF(U10="","0",IF(T10="","0",(U10-T10+1)-COUNTIFS(INDIRECT(getCalendarRange(O10)),"&gt;=" &amp; T10,INDIRECT(getCalendarRange(O10)),"&lt;=" &amp; U10)))</f>
        <v>0</v>
      </c>
      <c r="X10" s="153">
        <v>1</v>
      </c>
      <c r="Y10" s="183" t="s">
        <v>1082</v>
      </c>
      <c r="Z10" s="154"/>
      <c r="AA10" s="155">
        <v>1</v>
      </c>
      <c r="AB10" s="156">
        <v>0</v>
      </c>
      <c r="AC10" s="209"/>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f ca="1">IF(M11="","0",(N11-M11+1)-COUNTIFS(INDIRECT(getCalendarRange(O11)),"&gt;=" &amp; M11,INDIRECT(getCalendarRange(O11)),"&lt;=" &amp; N11))</f>
        <v>94</v>
      </c>
      <c r="S11" s="150">
        <f ca="1">IF(M11&gt;TODAY(),0,IF(N11&lt;TODAY(),R11,(TODAY()-M11+1)-COUNTIFS(INDIRECT(getCalendarRange(O11)),"&gt;=" &amp; M11,INDIRECT(getCalendarRange(O11)),"&lt;=" &amp; TODAY())))</f>
        <v>21</v>
      </c>
      <c r="T11" s="126"/>
      <c r="U11" s="126"/>
      <c r="V11" s="151">
        <v>0</v>
      </c>
      <c r="W11" s="152" t="str">
        <f ca="1">IF(U11="","0",IF(T11="","0",(U11-T11+1)-COUNTIFS(INDIRECT(getCalendarRange(O11)),"&gt;=" &amp; T11,INDIRECT(getCalendarRange(O11)),"&lt;=" &amp; U11)))</f>
        <v>0</v>
      </c>
      <c r="X11" s="153"/>
      <c r="Y11" s="148"/>
      <c r="Z11" s="154"/>
      <c r="AA11" s="155">
        <v>0.25</v>
      </c>
      <c r="AB11" s="156">
        <v>0</v>
      </c>
      <c r="AC11" s="209"/>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f ca="1">IF(M12="","0",(N12-M12+1)-COUNTIFS(INDIRECT(getCalendarRange(O12)),"&gt;=" &amp; M12,INDIRECT(getCalendarRange(O12)),"&lt;=" &amp; N12))</f>
        <v>3</v>
      </c>
      <c r="S12" s="150">
        <f ca="1">IF(M12&gt;TODAY(),0,IF(N12&lt;TODAY(),R12,(TODAY()-M12+1)-COUNTIFS(INDIRECT(getCalendarRange(O12)),"&gt;=" &amp; M12,INDIRECT(getCalendarRange(O12)),"&lt;=" &amp; TODAY())))</f>
        <v>3</v>
      </c>
      <c r="T12" s="206"/>
      <c r="U12" s="206"/>
      <c r="V12" s="151"/>
      <c r="W12" s="152" t="str">
        <f ca="1">IF(U12="","0",IF(T12="","0",(U12-T12+1)-COUNTIFS(INDIRECT(getCalendarRange(O12)),"&gt;=" &amp; T12,INDIRECT(getCalendarRange(O12)),"&lt;=" &amp; U12)))</f>
        <v>0</v>
      </c>
      <c r="X12" s="153">
        <v>1</v>
      </c>
      <c r="Y12" s="183" t="s">
        <v>1083</v>
      </c>
      <c r="Z12" s="154"/>
      <c r="AA12" s="155">
        <v>1</v>
      </c>
      <c r="AB12" s="156">
        <v>0</v>
      </c>
      <c r="AC12" s="209"/>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f ca="1">IF(M13="","0",(N13-M13+1)-COUNTIFS(INDIRECT(getCalendarRange(O13)),"&gt;=" &amp; M13,INDIRECT(getCalendarRange(O13)),"&lt;=" &amp; N13))</f>
        <v>3</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1083</v>
      </c>
      <c r="Z13" s="154"/>
      <c r="AA13" s="155">
        <v>0</v>
      </c>
      <c r="AB13" s="156">
        <v>0</v>
      </c>
      <c r="AC13" s="209"/>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1161</v>
      </c>
      <c r="H14" s="148"/>
      <c r="I14" s="148"/>
      <c r="J14" s="148"/>
      <c r="K14" s="148"/>
      <c r="L14" s="148"/>
      <c r="M14" s="126">
        <v>43607</v>
      </c>
      <c r="N14" s="126">
        <v>43609</v>
      </c>
      <c r="O14" s="148"/>
      <c r="P14" s="149">
        <v>3</v>
      </c>
      <c r="Q14" s="149">
        <v>0</v>
      </c>
      <c r="R14" s="150">
        <f ca="1">IF(M14="","0",(N14-M14+1)-COUNTIFS(INDIRECT(getCalendarRange(O14)),"&gt;=" &amp; M14,INDIRECT(getCalendarRange(O14)),"&lt;=" &amp; N14))</f>
        <v>3</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1083</v>
      </c>
      <c r="Z14" s="154"/>
      <c r="AA14" s="155">
        <v>0</v>
      </c>
      <c r="AB14" s="156">
        <v>0</v>
      </c>
      <c r="AC14" s="209"/>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1162</v>
      </c>
      <c r="E15" s="148"/>
      <c r="F15" s="148"/>
      <c r="G15" s="183" t="s">
        <v>926</v>
      </c>
      <c r="H15" s="148"/>
      <c r="I15" s="148"/>
      <c r="J15" s="148"/>
      <c r="K15" s="148"/>
      <c r="L15" s="148"/>
      <c r="M15" s="126">
        <v>43575</v>
      </c>
      <c r="N15" s="126">
        <v>43577</v>
      </c>
      <c r="O15" s="148"/>
      <c r="P15" s="149">
        <v>3</v>
      </c>
      <c r="Q15" s="149">
        <v>0</v>
      </c>
      <c r="R15" s="150">
        <f ca="1">IF(M15="","0",(N15-M15+1)-COUNTIFS(INDIRECT(getCalendarRange(O15)),"&gt;=" &amp; M15,INDIRECT(getCalendarRange(O15)),"&lt;=" &amp; N15))</f>
        <v>3</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1083</v>
      </c>
      <c r="Z15" s="154"/>
      <c r="AA15" s="155">
        <v>0</v>
      </c>
      <c r="AB15" s="156">
        <v>0</v>
      </c>
      <c r="AC15" s="209"/>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09"/>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f ca="1">IF(M17="","0",(N17-M17+1)-COUNTIFS(INDIRECT(getCalendarRange(O17)),"&gt;=" &amp; M17,INDIRECT(getCalendarRange(O17)),"&lt;=" &amp; N17))</f>
        <v>8</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09"/>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f ca="1">IF(M18="","0",(N18-M18+1)-COUNTIFS(INDIRECT(getCalendarRange(O18)),"&gt;=" &amp; M18,INDIRECT(getCalendarRange(O18)),"&lt;=" &amp; N18))</f>
        <v>7</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1082</v>
      </c>
      <c r="Z18" s="154"/>
      <c r="AA18" s="155">
        <v>0</v>
      </c>
      <c r="AB18" s="156">
        <v>0</v>
      </c>
      <c r="AC18" s="209"/>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f ca="1">IF(M19="","0",(N19-M19+1)-COUNTIFS(INDIRECT(getCalendarRange(O19)),"&gt;=" &amp; M19,INDIRECT(getCalendarRange(O19)),"&lt;=" &amp; N19))</f>
        <v>1</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1082</v>
      </c>
      <c r="Z19" s="154"/>
      <c r="AA19" s="155">
        <v>0</v>
      </c>
      <c r="AB19" s="156">
        <v>0</v>
      </c>
      <c r="AC19" s="209"/>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f ca="1">IF(M20="","0",(N20-M20+1)-COUNTIFS(INDIRECT(getCalendarRange(O20)),"&gt;=" &amp; M20,INDIRECT(getCalendarRange(O20)),"&lt;=" &amp; N20))</f>
        <v>1</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1082</v>
      </c>
      <c r="Z20" s="154"/>
      <c r="AA20" s="155">
        <v>0</v>
      </c>
      <c r="AB20" s="156">
        <v>0</v>
      </c>
      <c r="AC20" s="209"/>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727</v>
      </c>
      <c r="Q21" s="149">
        <v>473</v>
      </c>
      <c r="R21" s="150">
        <f ca="1">IF(M21="","0",(N21-M21+1)-COUNTIFS(INDIRECT(getCalendarRange(O21)),"&gt;=" &amp; M21,INDIRECT(getCalendarRange(O21)),"&lt;=" &amp; N21))</f>
        <v>170</v>
      </c>
      <c r="S21" s="150">
        <f ca="1">IF(M21&gt;TODAY(),0,IF(N21&lt;TODAY(),R21,(TODAY()-M21+1)-COUNTIFS(INDIRECT(getCalendarRange(O21)),"&gt;=" &amp; M21,INDIRECT(getCalendarRange(O21)),"&lt;=" &amp; TODAY())))</f>
        <v>76</v>
      </c>
      <c r="T21" s="126"/>
      <c r="U21" s="126"/>
      <c r="V21" s="151">
        <v>0</v>
      </c>
      <c r="W21" s="152" t="str">
        <f ca="1">IF(U21="","0",IF(T21="","0",(U21-T21+1)-COUNTIFS(INDIRECT(getCalendarRange(O21)),"&gt;=" &amp; T21,INDIRECT(getCalendarRange(O21)),"&lt;=" &amp; U21)))</f>
        <v>0</v>
      </c>
      <c r="X21" s="153"/>
      <c r="Y21" s="148"/>
      <c r="Z21" s="154"/>
      <c r="AA21" s="155">
        <v>0.65061898211829439</v>
      </c>
      <c r="AB21" s="156">
        <v>0</v>
      </c>
      <c r="AC21" s="209"/>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f ca="1">IF(M22="","0",(N22-M22+1)-COUNTIFS(INDIRECT(getCalendarRange(O22)),"&gt;=" &amp; M22,INDIRECT(getCalendarRange(O22)),"&lt;=" &amp; N22))</f>
        <v>20</v>
      </c>
      <c r="S22" s="150">
        <f ca="1">IF(M22&gt;TODAY(),0,IF(N22&lt;TODAY(),R22,(TODAY()-M22+1)-COUNTIFS(INDIRECT(getCalendarRange(O22)),"&gt;=" &amp; M22,INDIRECT(getCalendarRange(O22)),"&lt;=" &amp; TODAY())))</f>
        <v>20</v>
      </c>
      <c r="T22" s="126"/>
      <c r="U22" s="126"/>
      <c r="V22" s="151">
        <v>0</v>
      </c>
      <c r="W22" s="152" t="str">
        <f ca="1">IF(U22="","0",IF(T22="","0",(U22-T22+1)-COUNTIFS(INDIRECT(getCalendarRange(O22)),"&gt;=" &amp; T22,INDIRECT(getCalendarRange(O22)),"&lt;=" &amp; U22)))</f>
        <v>0</v>
      </c>
      <c r="X22" s="153"/>
      <c r="Y22" s="148"/>
      <c r="Z22" s="154"/>
      <c r="AA22" s="155">
        <v>1</v>
      </c>
      <c r="AB22" s="156">
        <v>0</v>
      </c>
      <c r="AC22" s="209"/>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f ca="1">IF(M23="","0",(N23-M23+1)-COUNTIFS(INDIRECT(getCalendarRange(O23)),"&gt;=" &amp; M23,INDIRECT(getCalendarRange(O23)),"&lt;=" &amp; N23))</f>
        <v>20</v>
      </c>
      <c r="S23" s="150">
        <f ca="1">IF(M23&gt;TODAY(),0,IF(N23&lt;TODAY(),R23,(TODAY()-M23+1)-COUNTIFS(INDIRECT(getCalendarRange(O23)),"&gt;=" &amp; M23,INDIRECT(getCalendarRange(O23)),"&lt;=" &amp; TODAY())))</f>
        <v>20</v>
      </c>
      <c r="T23" s="126">
        <v>42679</v>
      </c>
      <c r="U23" s="126"/>
      <c r="V23" s="151">
        <v>-42678</v>
      </c>
      <c r="W23" s="152" t="str">
        <f ca="1">IF(U23="","0",IF(T23="","0",(U23-T23+1)-COUNTIFS(INDIRECT(getCalendarRange(O23)),"&gt;=" &amp; T23,INDIRECT(getCalendarRange(O23)),"&lt;=" &amp; U23)))</f>
        <v>0</v>
      </c>
      <c r="X23" s="153">
        <v>1</v>
      </c>
      <c r="Y23" s="184" t="s">
        <v>1103</v>
      </c>
      <c r="Z23" s="154"/>
      <c r="AA23" s="155">
        <v>1</v>
      </c>
      <c r="AB23" s="156">
        <v>0</v>
      </c>
      <c r="AC23" s="209"/>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1151</v>
      </c>
      <c r="H24" s="148"/>
      <c r="I24" s="148"/>
      <c r="J24" s="148"/>
      <c r="K24" s="148"/>
      <c r="L24" s="148"/>
      <c r="M24" s="126">
        <v>43461</v>
      </c>
      <c r="N24" s="126">
        <v>43480</v>
      </c>
      <c r="O24" s="148"/>
      <c r="P24" s="149">
        <v>20</v>
      </c>
      <c r="Q24" s="149">
        <v>20</v>
      </c>
      <c r="R24" s="150">
        <f ca="1">IF(M24="","0",(N24-M24+1)-COUNTIFS(INDIRECT(getCalendarRange(O24)),"&gt;=" &amp; M24,INDIRECT(getCalendarRange(O24)),"&lt;=" &amp; N24))</f>
        <v>20</v>
      </c>
      <c r="S24" s="150">
        <f ca="1">IF(M24&gt;TODAY(),0,IF(N24&lt;TODAY(),R24,(TODAY()-M24+1)-COUNTIFS(INDIRECT(getCalendarRange(O24)),"&gt;=" &amp; M24,INDIRECT(getCalendarRange(O24)),"&lt;=" &amp; TODAY())))</f>
        <v>20</v>
      </c>
      <c r="T24" s="126"/>
      <c r="U24" s="126"/>
      <c r="V24" s="151"/>
      <c r="W24" s="152" t="str">
        <f ca="1">IF(U24="","0",IF(T24="","0",(U24-T24+1)-COUNTIFS(INDIRECT(getCalendarRange(O24)),"&gt;=" &amp; T24,INDIRECT(getCalendarRange(O24)),"&lt;=" &amp; U24)))</f>
        <v>0</v>
      </c>
      <c r="X24" s="153">
        <v>1</v>
      </c>
      <c r="Y24" s="184" t="s">
        <v>1103</v>
      </c>
      <c r="Z24" s="154"/>
      <c r="AA24" s="155">
        <v>1</v>
      </c>
      <c r="AB24" s="156">
        <v>0</v>
      </c>
      <c r="AC24" s="209"/>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1149</v>
      </c>
      <c r="E25" s="148"/>
      <c r="F25" s="148"/>
      <c r="G25" s="183" t="s">
        <v>1150</v>
      </c>
      <c r="H25" s="148"/>
      <c r="I25" s="148"/>
      <c r="J25" s="148"/>
      <c r="K25" s="148"/>
      <c r="L25" s="148"/>
      <c r="M25" s="126">
        <v>43461</v>
      </c>
      <c r="N25" s="126">
        <v>43480</v>
      </c>
      <c r="O25" s="148"/>
      <c r="P25" s="149">
        <v>20</v>
      </c>
      <c r="Q25" s="149">
        <v>20</v>
      </c>
      <c r="R25" s="150">
        <f ca="1">IF(M25="","0",(N25-M25+1)-COUNTIFS(INDIRECT(getCalendarRange(O25)),"&gt;=" &amp; M25,INDIRECT(getCalendarRange(O25)),"&lt;=" &amp; N25))</f>
        <v>20</v>
      </c>
      <c r="S25" s="150">
        <f ca="1">IF(M25&gt;TODAY(),0,IF(N25&lt;TODAY(),R25,(TODAY()-M25+1)-COUNTIFS(INDIRECT(getCalendarRange(O25)),"&gt;=" &amp; M25,INDIRECT(getCalendarRange(O25)),"&lt;=" &amp; TODAY())))</f>
        <v>20</v>
      </c>
      <c r="T25" s="126"/>
      <c r="U25" s="126"/>
      <c r="V25" s="151"/>
      <c r="W25" s="152" t="str">
        <f ca="1">IF(U25="","0",IF(T25="","0",(U25-T25+1)-COUNTIFS(INDIRECT(getCalendarRange(O25)),"&gt;=" &amp; T25,INDIRECT(getCalendarRange(O25)),"&lt;=" &amp; U25)))</f>
        <v>0</v>
      </c>
      <c r="X25" s="153">
        <v>1</v>
      </c>
      <c r="Y25" s="184" t="s">
        <v>1103</v>
      </c>
      <c r="Z25" s="154"/>
      <c r="AA25" s="155">
        <v>1</v>
      </c>
      <c r="AB25" s="156">
        <v>0</v>
      </c>
      <c r="AC25" s="209"/>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f ca="1">IF(M26="","0",(N26-M26+1)-COUNTIFS(INDIRECT(getCalendarRange(O26)),"&gt;=" &amp; M26,INDIRECT(getCalendarRange(O26)),"&lt;=" &amp; N26))</f>
        <v>17</v>
      </c>
      <c r="S26" s="150">
        <f ca="1">IF(M26&gt;TODAY(),0,IF(N26&lt;TODAY(),R26,(TODAY()-M26+1)-COUNTIFS(INDIRECT(getCalendarRange(O26)),"&gt;=" &amp; M26,INDIRECT(getCalendarRange(O26)),"&lt;=" &amp; TODAY())))</f>
        <v>17</v>
      </c>
      <c r="T26" s="126"/>
      <c r="U26" s="126"/>
      <c r="V26" s="151">
        <v>0</v>
      </c>
      <c r="W26" s="152" t="str">
        <f ca="1">IF(U26="","0",IF(T26="","0",(U26-T26+1)-COUNTIFS(INDIRECT(getCalendarRange(O26)),"&gt;=" &amp; T26,INDIRECT(getCalendarRange(O26)),"&lt;=" &amp; U26)))</f>
        <v>0</v>
      </c>
      <c r="X26" s="153"/>
      <c r="Y26" s="184"/>
      <c r="Z26" s="154"/>
      <c r="AA26" s="155">
        <v>1</v>
      </c>
      <c r="AB26" s="156">
        <v>0</v>
      </c>
      <c r="AC26" s="209"/>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f ca="1">IF(M27="","0",(N27-M27+1)-COUNTIFS(INDIRECT(getCalendarRange(O27)),"&gt;=" &amp; M27,INDIRECT(getCalendarRange(O27)),"&lt;=" &amp; N27))</f>
        <v>17</v>
      </c>
      <c r="S27" s="150">
        <f ca="1">IF(M27&gt;TODAY(),0,IF(N27&lt;TODAY(),R27,(TODAY()-M27+1)-COUNTIFS(INDIRECT(getCalendarRange(O27)),"&gt;=" &amp; M27,INDIRECT(getCalendarRange(O27)),"&lt;=" &amp; TODAY())))</f>
        <v>17</v>
      </c>
      <c r="T27" s="126"/>
      <c r="U27" s="126"/>
      <c r="V27" s="151">
        <v>0</v>
      </c>
      <c r="W27" s="152" t="str">
        <f ca="1">IF(U27="","0",IF(T27="","0",(U27-T27+1)-COUNTIFS(INDIRECT(getCalendarRange(O27)),"&gt;=" &amp; T27,INDIRECT(getCalendarRange(O27)),"&lt;=" &amp; U27)))</f>
        <v>0</v>
      </c>
      <c r="X27" s="153"/>
      <c r="Y27" s="184"/>
      <c r="Z27" s="154"/>
      <c r="AA27" s="155">
        <v>1</v>
      </c>
      <c r="AB27" s="156">
        <v>0</v>
      </c>
      <c r="AC27" s="209"/>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1156</v>
      </c>
      <c r="E28" s="148"/>
      <c r="F28" s="148"/>
      <c r="G28" s="148"/>
      <c r="H28" s="184" t="s">
        <v>1154</v>
      </c>
      <c r="I28" s="148"/>
      <c r="J28" s="148"/>
      <c r="K28" s="148"/>
      <c r="L28" s="148"/>
      <c r="M28" s="126">
        <v>43480</v>
      </c>
      <c r="N28" s="126">
        <v>43486</v>
      </c>
      <c r="O28" s="148"/>
      <c r="P28" s="149">
        <v>7</v>
      </c>
      <c r="Q28" s="149">
        <v>7</v>
      </c>
      <c r="R28" s="150">
        <f ca="1">IF(M28="","0",(N28-M28+1)-COUNTIFS(INDIRECT(getCalendarRange(O28)),"&gt;=" &amp; M28,INDIRECT(getCalendarRange(O28)),"&lt;=" &amp; N28))</f>
        <v>7</v>
      </c>
      <c r="S28" s="150">
        <f ca="1">IF(M28&gt;TODAY(),0,IF(N28&lt;TODAY(),R28,(TODAY()-M28+1)-COUNTIFS(INDIRECT(getCalendarRange(O28)),"&gt;=" &amp; M28,INDIRECT(getCalendarRange(O28)),"&lt;=" &amp; TODAY())))</f>
        <v>7</v>
      </c>
      <c r="T28" s="126"/>
      <c r="U28" s="126"/>
      <c r="V28" s="151"/>
      <c r="W28" s="152" t="str">
        <f ca="1">IF(U28="","0",IF(T28="","0",(U28-T28+1)-COUNTIFS(INDIRECT(getCalendarRange(O28)),"&gt;=" &amp; T28,INDIRECT(getCalendarRange(O28)),"&lt;=" &amp; U28)))</f>
        <v>0</v>
      </c>
      <c r="X28" s="153">
        <v>1</v>
      </c>
      <c r="Y28" s="184" t="s">
        <v>1152</v>
      </c>
      <c r="Z28" s="154"/>
      <c r="AA28" s="155">
        <v>1</v>
      </c>
      <c r="AB28" s="156">
        <v>0</v>
      </c>
      <c r="AC28" s="209"/>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1157</v>
      </c>
      <c r="E29" s="148"/>
      <c r="F29" s="148"/>
      <c r="G29" s="148"/>
      <c r="H29" s="184" t="s">
        <v>1155</v>
      </c>
      <c r="I29" s="148"/>
      <c r="J29" s="148"/>
      <c r="K29" s="148"/>
      <c r="L29" s="148"/>
      <c r="M29" s="126">
        <v>43486</v>
      </c>
      <c r="N29" s="126">
        <v>43491</v>
      </c>
      <c r="O29" s="148"/>
      <c r="P29" s="149">
        <v>6</v>
      </c>
      <c r="Q29" s="149">
        <v>6</v>
      </c>
      <c r="R29" s="150">
        <f ca="1">IF(M29="","0",(N29-M29+1)-COUNTIFS(INDIRECT(getCalendarRange(O29)),"&gt;=" &amp; M29,INDIRECT(getCalendarRange(O29)),"&lt;=" &amp; N29))</f>
        <v>6</v>
      </c>
      <c r="S29" s="150">
        <f ca="1">IF(M29&gt;TODAY(),0,IF(N29&lt;TODAY(),R29,(TODAY()-M29+1)-COUNTIFS(INDIRECT(getCalendarRange(O29)),"&gt;=" &amp; M29,INDIRECT(getCalendarRange(O29)),"&lt;=" &amp; TODAY())))</f>
        <v>6</v>
      </c>
      <c r="T29" s="126"/>
      <c r="U29" s="126"/>
      <c r="V29" s="151"/>
      <c r="W29" s="152" t="str">
        <f ca="1">IF(U29="","0",IF(T29="","0",(U29-T29+1)-COUNTIFS(INDIRECT(getCalendarRange(O29)),"&gt;=" &amp; T29,INDIRECT(getCalendarRange(O29)),"&lt;=" &amp; U29)))</f>
        <v>0</v>
      </c>
      <c r="X29" s="153">
        <v>1</v>
      </c>
      <c r="Y29" s="184" t="s">
        <v>1103</v>
      </c>
      <c r="Z29" s="154"/>
      <c r="AA29" s="155">
        <v>1</v>
      </c>
      <c r="AB29" s="156">
        <v>0</v>
      </c>
      <c r="AC29" s="209"/>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1158</v>
      </c>
      <c r="E30" s="148"/>
      <c r="F30" s="148"/>
      <c r="G30" s="184"/>
      <c r="H30" s="183" t="s">
        <v>1153</v>
      </c>
      <c r="I30" s="148"/>
      <c r="J30" s="148"/>
      <c r="K30" s="148"/>
      <c r="L30" s="148"/>
      <c r="M30" s="126">
        <v>43486</v>
      </c>
      <c r="N30" s="126">
        <v>43496</v>
      </c>
      <c r="O30" s="148"/>
      <c r="P30" s="149">
        <v>11</v>
      </c>
      <c r="Q30" s="149">
        <v>11</v>
      </c>
      <c r="R30" s="150">
        <f ca="1">IF(M30="","0",(N30-M30+1)-COUNTIFS(INDIRECT(getCalendarRange(O30)),"&gt;=" &amp; M30,INDIRECT(getCalendarRange(O30)),"&lt;=" &amp; N30))</f>
        <v>11</v>
      </c>
      <c r="S30" s="150">
        <f ca="1">IF(M30&gt;TODAY(),0,IF(N30&lt;TODAY(),R30,(TODAY()-M30+1)-COUNTIFS(INDIRECT(getCalendarRange(O30)),"&gt;=" &amp; M30,INDIRECT(getCalendarRange(O30)),"&lt;=" &amp; TODAY())))</f>
        <v>11</v>
      </c>
      <c r="T30" s="126"/>
      <c r="U30" s="126"/>
      <c r="V30" s="151"/>
      <c r="W30" s="152" t="str">
        <f ca="1">IF(U30="","0",IF(T30="","0",(U30-T30+1)-COUNTIFS(INDIRECT(getCalendarRange(O30)),"&gt;=" &amp; T30,INDIRECT(getCalendarRange(O30)),"&lt;=" &amp; U30)))</f>
        <v>0</v>
      </c>
      <c r="X30" s="153">
        <v>1</v>
      </c>
      <c r="Y30" s="184" t="s">
        <v>1152</v>
      </c>
      <c r="Z30" s="154"/>
      <c r="AA30" s="155">
        <v>1</v>
      </c>
      <c r="AB30" s="156">
        <v>0</v>
      </c>
      <c r="AC30" s="209"/>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1172</v>
      </c>
      <c r="E31" s="148"/>
      <c r="F31" s="148"/>
      <c r="G31" s="184"/>
      <c r="H31" s="183" t="s">
        <v>1167</v>
      </c>
      <c r="I31" s="148"/>
      <c r="J31" s="148"/>
      <c r="K31" s="148"/>
      <c r="L31" s="148"/>
      <c r="M31" s="126">
        <v>43486</v>
      </c>
      <c r="N31" s="126">
        <v>43496</v>
      </c>
      <c r="O31" s="148"/>
      <c r="P31" s="149">
        <v>11</v>
      </c>
      <c r="Q31" s="149">
        <v>11</v>
      </c>
      <c r="R31" s="150">
        <f ca="1">IF(M31="","0",(N31-M31+1)-COUNTIFS(INDIRECT(getCalendarRange(O31)),"&gt;=" &amp; M31,INDIRECT(getCalendarRange(O31)),"&lt;=" &amp; N31))</f>
        <v>11</v>
      </c>
      <c r="S31" s="150">
        <f ca="1">IF(M31&gt;TODAY(),0,IF(N31&lt;TODAY(),R31,(TODAY()-M31+1)-COUNTIFS(INDIRECT(getCalendarRange(O31)),"&gt;=" &amp; M31,INDIRECT(getCalendarRange(O31)),"&lt;=" &amp; TODAY())))</f>
        <v>11</v>
      </c>
      <c r="T31" s="126"/>
      <c r="U31" s="126"/>
      <c r="V31" s="151"/>
      <c r="W31" s="152" t="str">
        <f ca="1">IF(U31="","0",IF(T31="","0",(U31-T31+1)-COUNTIFS(INDIRECT(getCalendarRange(O31)),"&gt;=" &amp; T31,INDIRECT(getCalendarRange(O31)),"&lt;=" &amp; U31)))</f>
        <v>0</v>
      </c>
      <c r="X31" s="153">
        <v>1</v>
      </c>
      <c r="Y31" s="184" t="s">
        <v>1152</v>
      </c>
      <c r="Z31" s="154"/>
      <c r="AA31" s="155">
        <v>1</v>
      </c>
      <c r="AB31" s="156">
        <v>0</v>
      </c>
      <c r="AC31" s="209"/>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f ca="1">IF(M32="","0",(N32-M32+1)-COUNTIFS(INDIRECT(getCalendarRange(O32)),"&gt;=" &amp; M32,INDIRECT(getCalendarRange(O32)),"&lt;=" &amp; N32))</f>
        <v>17</v>
      </c>
      <c r="S32" s="150">
        <f ca="1">IF(M32&gt;TODAY(),0,IF(N32&lt;TODAY(),R32,(TODAY()-M32+1)-COUNTIFS(INDIRECT(getCalendarRange(O32)),"&gt;=" &amp; M32,INDIRECT(getCalendarRange(O32)),"&lt;=" &amp; TODAY())))</f>
        <v>17</v>
      </c>
      <c r="T32" s="126"/>
      <c r="U32" s="126"/>
      <c r="V32" s="151">
        <v>0</v>
      </c>
      <c r="W32" s="152" t="str">
        <f ca="1">IF(U32="","0",IF(T32="","0",(U32-T32+1)-COUNTIFS(INDIRECT(getCalendarRange(O32)),"&gt;=" &amp; T32,INDIRECT(getCalendarRange(O32)),"&lt;=" &amp; U32)))</f>
        <v>0</v>
      </c>
      <c r="X32" s="153"/>
      <c r="Y32" s="148"/>
      <c r="Z32" s="154"/>
      <c r="AA32" s="155">
        <v>1</v>
      </c>
      <c r="AB32" s="156">
        <v>0</v>
      </c>
      <c r="AC32" s="209"/>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f ca="1">IF(M33="","0",(N33-M33+1)-COUNTIFS(INDIRECT(getCalendarRange(O33)),"&gt;=" &amp; M33,INDIRECT(getCalendarRange(O33)),"&lt;=" &amp; N33))</f>
        <v>17</v>
      </c>
      <c r="S33" s="150">
        <f ca="1">IF(M33&gt;TODAY(),0,IF(N33&lt;TODAY(),R33,(TODAY()-M33+1)-COUNTIFS(INDIRECT(getCalendarRange(O33)),"&gt;=" &amp; M33,INDIRECT(getCalendarRange(O33)),"&lt;=" &amp; TODAY())))</f>
        <v>17</v>
      </c>
      <c r="T33" s="126"/>
      <c r="U33" s="126"/>
      <c r="V33" s="151"/>
      <c r="W33" s="152" t="str">
        <f ca="1">IF(U33="","0",IF(T33="","0",(U33-T33+1)-COUNTIFS(INDIRECT(getCalendarRange(O33)),"&gt;=" &amp; T33,INDIRECT(getCalendarRange(O33)),"&lt;=" &amp; U33)))</f>
        <v>0</v>
      </c>
      <c r="X33" s="153">
        <v>1</v>
      </c>
      <c r="Y33" s="183" t="s">
        <v>1082</v>
      </c>
      <c r="Z33" s="154"/>
      <c r="AA33" s="155">
        <v>1</v>
      </c>
      <c r="AB33" s="156">
        <v>0</v>
      </c>
      <c r="AC33" s="209"/>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f ca="1">IF(M34="","0",(N34-M34+1)-COUNTIFS(INDIRECT(getCalendarRange(O34)),"&gt;=" &amp; M34,INDIRECT(getCalendarRange(O34)),"&lt;=" &amp; N34))</f>
        <v>17</v>
      </c>
      <c r="S34" s="150">
        <f ca="1">IF(M34&gt;TODAY(),0,IF(N34&lt;TODAY(),R34,(TODAY()-M34+1)-COUNTIFS(INDIRECT(getCalendarRange(O34)),"&gt;=" &amp; M34,INDIRECT(getCalendarRange(O34)),"&lt;=" &amp; TODAY())))</f>
        <v>17</v>
      </c>
      <c r="T34" s="126"/>
      <c r="U34" s="126"/>
      <c r="V34" s="151"/>
      <c r="W34" s="152" t="str">
        <f ca="1">IF(U34="","0",IF(T34="","0",(U34-T34+1)-COUNTIFS(INDIRECT(getCalendarRange(O34)),"&gt;=" &amp; T34,INDIRECT(getCalendarRange(O34)),"&lt;=" &amp; U34)))</f>
        <v>0</v>
      </c>
      <c r="X34" s="153">
        <v>1</v>
      </c>
      <c r="Y34" s="183" t="s">
        <v>1084</v>
      </c>
      <c r="Z34" s="154"/>
      <c r="AA34" s="155">
        <v>1</v>
      </c>
      <c r="AB34" s="156">
        <v>0</v>
      </c>
      <c r="AC34" s="209"/>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f ca="1">IF(M35="","0",(N35-M35+1)-COUNTIFS(INDIRECT(getCalendarRange(O35)),"&gt;=" &amp; M35,INDIRECT(getCalendarRange(O35)),"&lt;=" &amp; N35))</f>
        <v>17</v>
      </c>
      <c r="S35" s="150">
        <f ca="1">IF(M35&gt;TODAY(),0,IF(N35&lt;TODAY(),R35,(TODAY()-M35+1)-COUNTIFS(INDIRECT(getCalendarRange(O35)),"&gt;=" &amp; M35,INDIRECT(getCalendarRange(O35)),"&lt;=" &amp; TODAY())))</f>
        <v>17</v>
      </c>
      <c r="T35" s="126"/>
      <c r="U35" s="126"/>
      <c r="V35" s="151"/>
      <c r="W35" s="152" t="str">
        <f ca="1">IF(U35="","0",IF(T35="","0",(U35-T35+1)-COUNTIFS(INDIRECT(getCalendarRange(O35)),"&gt;=" &amp; T35,INDIRECT(getCalendarRange(O35)),"&lt;=" &amp; U35)))</f>
        <v>0</v>
      </c>
      <c r="X35" s="153">
        <v>1</v>
      </c>
      <c r="Y35" s="183" t="s">
        <v>1082</v>
      </c>
      <c r="Z35" s="154" t="s">
        <v>942</v>
      </c>
      <c r="AA35" s="155">
        <v>1</v>
      </c>
      <c r="AB35" s="156">
        <v>0</v>
      </c>
      <c r="AC35" s="209"/>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564</v>
      </c>
      <c r="Q36" s="149">
        <v>327</v>
      </c>
      <c r="R36" s="150">
        <f ca="1">IF(M36="","0",(N36-M36+1)-COUNTIFS(INDIRECT(getCalendarRange(O36)),"&gt;=" &amp; M36,INDIRECT(getCalendarRange(O36)),"&lt;=" &amp; N36))</f>
        <v>127</v>
      </c>
      <c r="S36" s="150">
        <f ca="1">IF(M36&gt;TODAY(),0,IF(N36&lt;TODAY(),R36,(TODAY()-M36+1)-COUNTIFS(INDIRECT(getCalendarRange(O36)),"&gt;=" &amp; M36,INDIRECT(getCalendarRange(O36)),"&lt;=" &amp; TODAY())))</f>
        <v>40</v>
      </c>
      <c r="T36" s="126"/>
      <c r="U36" s="126"/>
      <c r="V36" s="151">
        <v>0</v>
      </c>
      <c r="W36" s="152" t="str">
        <f ca="1">IF(U36="","0",IF(T36="","0",(U36-T36+1)-COUNTIFS(INDIRECT(getCalendarRange(O36)),"&gt;=" &amp; T36,INDIRECT(getCalendarRange(O36)),"&lt;=" &amp; U36)))</f>
        <v>0</v>
      </c>
      <c r="X36" s="153"/>
      <c r="Y36" s="148"/>
      <c r="Z36" s="154"/>
      <c r="AA36" s="155">
        <v>0.57978723404255317</v>
      </c>
      <c r="AB36" s="156">
        <v>0</v>
      </c>
      <c r="AC36" s="209"/>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43580</v>
      </c>
      <c r="O37" s="148"/>
      <c r="P37" s="149">
        <v>550</v>
      </c>
      <c r="Q37" s="149">
        <v>327</v>
      </c>
      <c r="R37" s="150">
        <f ca="1">IF(M37="","0",(N37-M37+1)-COUNTIFS(INDIRECT(getCalendarRange(O37)),"&gt;=" &amp; M37,INDIRECT(getCalendarRange(O37)),"&lt;=" &amp; N37))</f>
        <v>84</v>
      </c>
      <c r="S37" s="150">
        <f ca="1">IF(M37&gt;TODAY(),0,IF(N37&lt;TODAY(),R37,(TODAY()-M37+1)-COUNTIFS(INDIRECT(getCalendarRange(O37)),"&gt;=" &amp; M37,INDIRECT(getCalendarRange(O37)),"&lt;=" &amp; TODAY())))</f>
        <v>40</v>
      </c>
      <c r="T37" s="126"/>
      <c r="U37" s="126"/>
      <c r="V37" s="151">
        <v>0</v>
      </c>
      <c r="W37" s="152" t="str">
        <f ca="1">IF(U37="","0",IF(T37="","0",(U37-T37+1)-COUNTIFS(INDIRECT(getCalendarRange(O37)),"&gt;=" &amp; T37,INDIRECT(getCalendarRange(O37)),"&lt;=" &amp; U37)))</f>
        <v>0</v>
      </c>
      <c r="X37" s="153"/>
      <c r="Y37" s="148"/>
      <c r="Z37" s="154"/>
      <c r="AA37" s="155">
        <v>0.5945454545454546</v>
      </c>
      <c r="AB37" s="156">
        <v>0</v>
      </c>
      <c r="AC37" s="209"/>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2/1-4/25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f ca="1">IF(M38="","0",(N38-M38+1)-COUNTIFS(INDIRECT(getCalendarRange(O38)),"&gt;=" &amp; M38,INDIRECT(getCalendarRange(O38)),"&lt;=" &amp; N38))</f>
        <v>2</v>
      </c>
      <c r="S38" s="150">
        <f ca="1">IF(M38&gt;TODAY(),0,IF(N38&lt;TODAY(),R38,(TODAY()-M38+1)-COUNTIFS(INDIRECT(getCalendarRange(O38)),"&gt;=" &amp; M38,INDIRECT(getCalendarRange(O38)),"&lt;=" &amp; TODAY())))</f>
        <v>2</v>
      </c>
      <c r="T38" s="126"/>
      <c r="U38" s="126"/>
      <c r="V38" s="151"/>
      <c r="W38" s="152" t="str">
        <f ca="1">IF(U38="","0",IF(T38="","0",(U38-T38+1)-COUNTIFS(INDIRECT(getCalendarRange(O38)),"&gt;=" &amp; T38,INDIRECT(getCalendarRange(O38)),"&lt;=" &amp; U38)))</f>
        <v>0</v>
      </c>
      <c r="X38" s="153">
        <v>1</v>
      </c>
      <c r="Y38" s="184" t="s">
        <v>1103</v>
      </c>
      <c r="Z38" s="154"/>
      <c r="AA38" s="155">
        <v>1</v>
      </c>
      <c r="AB38" s="156">
        <v>0</v>
      </c>
      <c r="AC38" s="209"/>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43580</v>
      </c>
      <c r="O39" s="148"/>
      <c r="P39" s="149">
        <v>548</v>
      </c>
      <c r="Q39" s="149">
        <v>325</v>
      </c>
      <c r="R39" s="150">
        <f ca="1">IF(M39="","0",(N39-M39+1)-COUNTIFS(INDIRECT(getCalendarRange(O39)),"&gt;=" &amp; M39,INDIRECT(getCalendarRange(O39)),"&lt;=" &amp; N39))</f>
        <v>84</v>
      </c>
      <c r="S39" s="150">
        <f ca="1">IF(M39&gt;TODAY(),0,IF(N39&lt;TODAY(),R39,(TODAY()-M39+1)-COUNTIFS(INDIRECT(getCalendarRange(O39)),"&gt;=" &amp; M39,INDIRECT(getCalendarRange(O39)),"&lt;=" &amp; TODAY())))</f>
        <v>40</v>
      </c>
      <c r="T39" s="126"/>
      <c r="U39" s="126"/>
      <c r="V39" s="151">
        <v>0</v>
      </c>
      <c r="W39" s="152" t="str">
        <f ca="1">IF(U39="","0",IF(T39="","0",(U39-T39+1)-COUNTIFS(INDIRECT(getCalendarRange(O39)),"&gt;=" &amp; T39,INDIRECT(getCalendarRange(O39)),"&lt;=" &amp; U39)))</f>
        <v>0</v>
      </c>
      <c r="X39" s="153"/>
      <c r="Y39" s="184"/>
      <c r="Z39" s="154"/>
      <c r="AA39" s="155">
        <v>0.59306569343065696</v>
      </c>
      <c r="AB39" s="156">
        <v>0</v>
      </c>
      <c r="AC39" s="209"/>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2/1-4/25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1173</v>
      </c>
      <c r="J40" s="148"/>
      <c r="K40" s="148"/>
      <c r="L40" s="148"/>
      <c r="M40" s="126">
        <v>43497</v>
      </c>
      <c r="N40" s="126">
        <v>43579</v>
      </c>
      <c r="O40" s="148"/>
      <c r="P40" s="149">
        <v>147</v>
      </c>
      <c r="Q40" s="149">
        <v>103</v>
      </c>
      <c r="R40" s="150">
        <f ca="1">IF(M40="","0",(N40-M40+1)-COUNTIFS(INDIRECT(getCalendarRange(O40)),"&gt;=" &amp; M40,INDIRECT(getCalendarRange(O40)),"&lt;=" &amp; N40))</f>
        <v>83</v>
      </c>
      <c r="S40" s="150">
        <f ca="1">IF(M40&gt;TODAY(),0,IF(N40&lt;TODAY(),R40,(TODAY()-M40+1)-COUNTIFS(INDIRECT(getCalendarRange(O40)),"&gt;=" &amp; M40,INDIRECT(getCalendarRange(O40)),"&lt;=" &amp; TODAY())))</f>
        <v>40</v>
      </c>
      <c r="T40" s="126"/>
      <c r="U40" s="126"/>
      <c r="V40" s="151">
        <v>0</v>
      </c>
      <c r="W40" s="152" t="str">
        <f ca="1">IF(U40="","0",IF(T40="","0",(U40-T40+1)-COUNTIFS(INDIRECT(getCalendarRange(O40)),"&gt;=" &amp; T40,INDIRECT(getCalendarRange(O40)),"&lt;=" &amp; U40)))</f>
        <v>0</v>
      </c>
      <c r="X40" s="153"/>
      <c r="Y40" s="183" t="s">
        <v>1184</v>
      </c>
      <c r="Z40" s="154"/>
      <c r="AA40" s="155">
        <v>0.70068027210884354</v>
      </c>
      <c r="AB40" s="156">
        <v>0</v>
      </c>
      <c r="AC40" s="209"/>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모바일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4" t="s">
        <v>1104</v>
      </c>
      <c r="K41" s="148"/>
      <c r="L41" s="148"/>
      <c r="M41" s="126">
        <v>43528</v>
      </c>
      <c r="N41" s="126">
        <v>43539</v>
      </c>
      <c r="O41" s="148"/>
      <c r="P41" s="149">
        <v>20</v>
      </c>
      <c r="Q41" s="149">
        <v>20</v>
      </c>
      <c r="R41" s="150">
        <f ca="1">IF(M41="","0",(N41-M41+1)-COUNTIFS(INDIRECT(getCalendarRange(O41)),"&gt;=" &amp; M41,INDIRECT(getCalendarRange(O41)),"&lt;=" &amp; N41))</f>
        <v>12</v>
      </c>
      <c r="S41" s="150">
        <f ca="1">IF(M41&gt;TODAY(),0,IF(N41&lt;TODAY(),R41,(TODAY()-M41+1)-COUNTIFS(INDIRECT(getCalendarRange(O41)),"&gt;=" &amp; M41,INDIRECT(getCalendarRange(O41)),"&lt;=" &amp; TODAY())))</f>
        <v>9</v>
      </c>
      <c r="T41" s="126"/>
      <c r="U41" s="126"/>
      <c r="V41" s="151"/>
      <c r="W41" s="152" t="str">
        <f ca="1">IF(U41="","0",IF(T41="","0",(U41-T41+1)-COUNTIFS(INDIRECT(getCalendarRange(O41)),"&gt;=" &amp; T41,INDIRECT(getCalendarRange(O41)),"&lt;=" &amp; U41)))</f>
        <v>0</v>
      </c>
      <c r="X41" s="153">
        <v>1</v>
      </c>
      <c r="Y41" s="183" t="s">
        <v>1085</v>
      </c>
      <c r="Z41" s="154"/>
      <c r="AA41" s="155">
        <v>1</v>
      </c>
      <c r="AB41" s="156">
        <v>0</v>
      </c>
      <c r="AC41" s="209"/>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음성 텍스트화 3/4-3/15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1105</v>
      </c>
      <c r="K42" s="148"/>
      <c r="L42" s="148"/>
      <c r="M42" s="126">
        <v>43540</v>
      </c>
      <c r="N42" s="126">
        <v>43546</v>
      </c>
      <c r="O42" s="148"/>
      <c r="P42" s="149">
        <v>15</v>
      </c>
      <c r="Q42" s="149">
        <v>15</v>
      </c>
      <c r="R42" s="150">
        <f ca="1">IF(M42="","0",(N42-M42+1)-COUNTIFS(INDIRECT(getCalendarRange(O42)),"&gt;=" &amp; M42,INDIRECT(getCalendarRange(O42)),"&lt;=" &amp; N42))</f>
        <v>7</v>
      </c>
      <c r="S42" s="150">
        <f ca="1">IF(M42&gt;TODAY(),0,IF(N42&lt;TODAY(),R42,(TODAY()-M42+1)-COUNTIFS(INDIRECT(getCalendarRange(O42)),"&gt;=" &amp; M42,INDIRECT(getCalendarRange(O42)),"&lt;=" &amp; TODAY())))</f>
        <v>0</v>
      </c>
      <c r="T42" s="126"/>
      <c r="U42" s="126"/>
      <c r="V42" s="151"/>
      <c r="W42" s="152" t="str">
        <f ca="1">IF(U42="","0",IF(T42="","0",(U42-T42+1)-COUNTIFS(INDIRECT(getCalendarRange(O42)),"&gt;=" &amp; T42,INDIRECT(getCalendarRange(O42)),"&lt;=" &amp; U42)))</f>
        <v>0</v>
      </c>
      <c r="X42" s="153">
        <v>1</v>
      </c>
      <c r="Y42" s="183" t="s">
        <v>1085</v>
      </c>
      <c r="Z42" s="154"/>
      <c r="AA42" s="155">
        <v>1</v>
      </c>
      <c r="AB42" s="156">
        <v>0</v>
      </c>
      <c r="AC42" s="209"/>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t="str">
        <f>J42 &amp; " " &amp; IF(M42="","",TEXT(M42,"M/D-")) &amp; IF(N42="","",TEXT(N42,"M/D")) &amp; " "</f>
        <v xml:space="preserve">이미지 분석 3/16-3/22 </v>
      </c>
      <c r="DN42" s="207" t="str">
        <f>TEXT(AB42,"#0.00%") &amp; " "</f>
        <v xml:space="preserve">0.00% </v>
      </c>
      <c r="DO42" s="208"/>
      <c r="DP42" s="208"/>
      <c r="DQ42" s="208"/>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48" t="s">
        <v>1086</v>
      </c>
      <c r="K43" s="148"/>
      <c r="L43" s="148"/>
      <c r="M43" s="126">
        <v>43505</v>
      </c>
      <c r="N43" s="126">
        <v>43548</v>
      </c>
      <c r="O43" s="148"/>
      <c r="P43" s="149">
        <v>44</v>
      </c>
      <c r="Q43" s="149">
        <v>32</v>
      </c>
      <c r="R43" s="150">
        <f ca="1">IF(M43="","0",(N43-M43+1)-COUNTIFS(INDIRECT(getCalendarRange(O43)),"&gt;=" &amp; M43,INDIRECT(getCalendarRange(O43)),"&lt;=" &amp; N43))</f>
        <v>44</v>
      </c>
      <c r="S43" s="150">
        <f ca="1">IF(M43&gt;TODAY(),0,IF(N43&lt;TODAY(),R43,(TODAY()-M43+1)-COUNTIFS(INDIRECT(getCalendarRange(O43)),"&gt;=" &amp; M43,INDIRECT(getCalendarRange(O43)),"&lt;=" &amp; TODAY())))</f>
        <v>32</v>
      </c>
      <c r="T43" s="126"/>
      <c r="U43" s="126"/>
      <c r="V43" s="151"/>
      <c r="W43" s="152" t="str">
        <f ca="1">IF(U43="","0",IF(T43="","0",(U43-T43+1)-COUNTIFS(INDIRECT(getCalendarRange(O43)),"&gt;=" &amp; T43,INDIRECT(getCalendarRange(O43)),"&lt;=" &amp; U43)))</f>
        <v>0</v>
      </c>
      <c r="X43" s="153">
        <v>1</v>
      </c>
      <c r="Y43" s="183" t="s">
        <v>1175</v>
      </c>
      <c r="Z43" s="154"/>
      <c r="AA43" s="155">
        <v>0.72727272727272729</v>
      </c>
      <c r="AB43" s="156">
        <v>0</v>
      </c>
      <c r="AC43" s="209"/>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t="str">
        <f>J43 &amp; " " &amp; IF(M43="","",TEXT(M43,"M/D-")) &amp; IF(N43="","",TEXT(N43,"M/D")) &amp; " "</f>
        <v xml:space="preserve">chatbot 2/9-3/24 </v>
      </c>
      <c r="DO43" s="207" t="str">
        <f>TEXT(AB43,"#0.00%") &amp; " "</f>
        <v xml:space="preserve">0.00% </v>
      </c>
      <c r="DP43" s="208"/>
      <c r="DQ43" s="208"/>
      <c r="DR43" s="208"/>
      <c r="DS43" s="208"/>
      <c r="DT43" s="208"/>
      <c r="DU43" s="208"/>
      <c r="DV43" s="208"/>
      <c r="DW43" s="208"/>
      <c r="DX43" s="208"/>
      <c r="DY43" s="208"/>
      <c r="DZ43" s="208"/>
      <c r="EA43" s="208"/>
      <c r="EB43" s="208"/>
      <c r="EC43" s="208"/>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1087</v>
      </c>
      <c r="E44" s="148"/>
      <c r="F44" s="148"/>
      <c r="G44" s="148"/>
      <c r="H44" s="148"/>
      <c r="I44" s="148"/>
      <c r="J44" s="184" t="s">
        <v>1106</v>
      </c>
      <c r="K44" s="148"/>
      <c r="L44" s="148"/>
      <c r="M44" s="126">
        <v>43506</v>
      </c>
      <c r="N44" s="126">
        <v>43520</v>
      </c>
      <c r="O44" s="148"/>
      <c r="P44" s="149">
        <v>15</v>
      </c>
      <c r="Q44" s="149">
        <v>15</v>
      </c>
      <c r="R44" s="150">
        <f ca="1">IF(M44="","0",(N44-M44+1)-COUNTIFS(INDIRECT(getCalendarRange(O44)),"&gt;=" &amp; M44,INDIRECT(getCalendarRange(O44)),"&lt;=" &amp; N44))</f>
        <v>15</v>
      </c>
      <c r="S44" s="150">
        <f ca="1">IF(M44&gt;TODAY(),0,IF(N44&lt;TODAY(),R44,(TODAY()-M44+1)-COUNTIFS(INDIRECT(getCalendarRange(O44)),"&gt;=" &amp; M44,INDIRECT(getCalendarRange(O44)),"&lt;=" &amp; TODAY())))</f>
        <v>15</v>
      </c>
      <c r="T44" s="126"/>
      <c r="U44" s="126"/>
      <c r="V44" s="151"/>
      <c r="W44" s="152" t="str">
        <f ca="1">IF(U44="","0",IF(T44="","0",(U44-T44+1)-COUNTIFS(INDIRECT(getCalendarRange(O44)),"&gt;=" &amp; T44,INDIRECT(getCalendarRange(O44)),"&lt;=" &amp; U44)))</f>
        <v>0</v>
      </c>
      <c r="X44" s="153">
        <v>1</v>
      </c>
      <c r="Y44" s="183" t="s">
        <v>1085</v>
      </c>
      <c r="Z44" s="154"/>
      <c r="AA44" s="155">
        <v>1</v>
      </c>
      <c r="AB44" s="156">
        <v>0</v>
      </c>
      <c r="AC44" s="209"/>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t="str">
        <f>J44 &amp; " " &amp; IF(M44="","",TEXT(M44,"M/D-")) &amp; IF(N44="","",TEXT(N44,"M/D")) &amp; " "</f>
        <v xml:space="preserve">통화 음성 녹음 2/10-2/24 </v>
      </c>
      <c r="DP44" s="207" t="str">
        <f>TEXT(AB44,"#0.00%") &amp; " "</f>
        <v xml:space="preserve">0.00% </v>
      </c>
      <c r="DQ44" s="208"/>
      <c r="DR44" s="208"/>
      <c r="DS44" s="208"/>
      <c r="DT44" s="208"/>
      <c r="DU44" s="208"/>
      <c r="DV44" s="208"/>
      <c r="DW44" s="208"/>
      <c r="DX44" s="208"/>
      <c r="DY44" s="208"/>
      <c r="DZ44" s="208"/>
      <c r="EA44" s="208"/>
      <c r="EB44" s="208"/>
      <c r="EC44" s="208"/>
      <c r="ED44" s="208"/>
      <c r="EE44" s="208"/>
      <c r="EF44" s="208"/>
      <c r="EG44" s="208"/>
      <c r="EH44" s="208"/>
      <c r="EI44" s="208"/>
      <c r="EJ44" s="208"/>
      <c r="EK44" s="208"/>
      <c r="EL44" s="208"/>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1088</v>
      </c>
      <c r="E45" s="148"/>
      <c r="F45" s="148"/>
      <c r="G45" s="148"/>
      <c r="H45" s="148"/>
      <c r="I45" s="148"/>
      <c r="J45" s="183" t="s">
        <v>1089</v>
      </c>
      <c r="K45" s="148"/>
      <c r="L45" s="148"/>
      <c r="M45" s="126">
        <v>43521</v>
      </c>
      <c r="N45" s="126">
        <v>43527</v>
      </c>
      <c r="O45" s="148"/>
      <c r="P45" s="149">
        <v>21</v>
      </c>
      <c r="Q45" s="149">
        <v>21</v>
      </c>
      <c r="R45" s="150">
        <f ca="1">IF(M45="","0",(N45-M45+1)-COUNTIFS(INDIRECT(getCalendarRange(O45)),"&gt;=" &amp; M45,INDIRECT(getCalendarRange(O45)),"&lt;=" &amp; N45))</f>
        <v>7</v>
      </c>
      <c r="S45" s="150">
        <f ca="1">IF(M45&gt;TODAY(),0,IF(N45&lt;TODAY(),R45,(TODAY()-M45+1)-COUNTIFS(INDIRECT(getCalendarRange(O45)),"&gt;=" &amp; M45,INDIRECT(getCalendarRange(O45)),"&lt;=" &amp; TODAY())))</f>
        <v>7</v>
      </c>
      <c r="T45" s="126"/>
      <c r="U45" s="126"/>
      <c r="V45" s="151"/>
      <c r="W45" s="152" t="str">
        <f ca="1">IF(U45="","0",IF(T45="","0",(U45-T45+1)-COUNTIFS(INDIRECT(getCalendarRange(O45)),"&gt;=" &amp; T45,INDIRECT(getCalendarRange(O45)),"&lt;=" &amp; U45)))</f>
        <v>0</v>
      </c>
      <c r="X45" s="153">
        <v>1</v>
      </c>
      <c r="Y45" s="183" t="s">
        <v>1085</v>
      </c>
      <c r="Z45" s="154"/>
      <c r="AA45" s="155">
        <v>1</v>
      </c>
      <c r="AB45" s="156">
        <v>0</v>
      </c>
      <c r="AC45" s="209"/>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t="str">
        <f>J45 &amp; " " &amp; IF(M45="","",TEXT(M45,"M/D-")) &amp; IF(N45="","",TEXT(N45,"M/D")) &amp; " "</f>
        <v xml:space="preserve">문자 내용 분석 2/25-3/3 </v>
      </c>
      <c r="DQ45" s="207" t="str">
        <f>TEXT(AB45,"#0.00%") &amp; " "</f>
        <v xml:space="preserve">0.00% </v>
      </c>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c r="EZ45" s="208"/>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1142</v>
      </c>
      <c r="E46" s="148"/>
      <c r="F46" s="148"/>
      <c r="G46" s="148"/>
      <c r="H46" s="148"/>
      <c r="I46" s="148"/>
      <c r="J46" s="183" t="s">
        <v>1141</v>
      </c>
      <c r="K46" s="148"/>
      <c r="L46" s="148"/>
      <c r="M46" s="126">
        <v>43548</v>
      </c>
      <c r="N46" s="126">
        <v>43579</v>
      </c>
      <c r="O46" s="148"/>
      <c r="P46" s="149">
        <v>32</v>
      </c>
      <c r="Q46" s="149">
        <v>0</v>
      </c>
      <c r="R46" s="150">
        <f ca="1">IF(M46="","0",(N46-M46+1)-COUNTIFS(INDIRECT(getCalendarRange(O46)),"&gt;=" &amp; M46,INDIRECT(getCalendarRange(O46)),"&lt;=" &amp; N46))</f>
        <v>32</v>
      </c>
      <c r="S46" s="150">
        <f ca="1">IF(M46&gt;TODAY(),0,IF(N46&lt;TODAY(),R46,(TODAY()-M46+1)-COUNTIFS(INDIRECT(getCalendarRange(O46)),"&gt;=" &amp; M46,INDIRECT(getCalendarRange(O46)),"&lt;=" &amp; TODAY())))</f>
        <v>0</v>
      </c>
      <c r="T46" s="126"/>
      <c r="U46" s="126"/>
      <c r="V46" s="151"/>
      <c r="W46" s="152" t="str">
        <f ca="1">IF(U46="","0",IF(T46="","0",(U46-T46+1)-COUNTIFS(INDIRECT(getCalendarRange(O46)),"&gt;=" &amp; T46,INDIRECT(getCalendarRange(O46)),"&lt;=" &amp; U46)))</f>
        <v>0</v>
      </c>
      <c r="X46" s="153">
        <v>1</v>
      </c>
      <c r="Y46" s="184" t="s">
        <v>1103</v>
      </c>
      <c r="Z46" s="154"/>
      <c r="AA46" s="155">
        <v>0</v>
      </c>
      <c r="AB46" s="156">
        <v>0</v>
      </c>
      <c r="AC46" s="209"/>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c r="DO46" s="208"/>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t="str">
        <f>J46 &amp; " " &amp; IF(M46="","",TEXT(M46,"M/D-")) &amp; IF(N46="","",TEXT(N46,"M/D")) &amp; " "</f>
        <v xml:space="preserve">전반적인 감정 분석 3/24-4/24 </v>
      </c>
      <c r="FF46" s="207" t="str">
        <f>TEXT(AB46,"#0.00%") &amp; " "</f>
        <v xml:space="preserve">0.00% </v>
      </c>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t="s">
        <v>996</v>
      </c>
      <c r="C47" s="147">
        <v>5</v>
      </c>
      <c r="D47" s="157" t="s">
        <v>978</v>
      </c>
      <c r="E47" s="148"/>
      <c r="F47" s="148"/>
      <c r="G47" s="148"/>
      <c r="H47" s="148"/>
      <c r="I47" s="183" t="s">
        <v>1163</v>
      </c>
      <c r="J47" s="148"/>
      <c r="K47" s="148"/>
      <c r="L47" s="148"/>
      <c r="M47" s="126">
        <v>43509</v>
      </c>
      <c r="N47" s="126">
        <v>43580</v>
      </c>
      <c r="O47" s="148"/>
      <c r="P47" s="149">
        <v>115</v>
      </c>
      <c r="Q47" s="149">
        <v>71</v>
      </c>
      <c r="R47" s="150">
        <f ca="1">IF(M47="","0",(N47-M47+1)-COUNTIFS(INDIRECT(getCalendarRange(O47)),"&gt;=" &amp; M47,INDIRECT(getCalendarRange(O47)),"&lt;=" &amp; N47))</f>
        <v>72</v>
      </c>
      <c r="S47" s="150">
        <f ca="1">IF(M47&gt;TODAY(),0,IF(N47&lt;TODAY(),R47,(TODAY()-M47+1)-COUNTIFS(INDIRECT(getCalendarRange(O47)),"&gt;=" &amp; M47,INDIRECT(getCalendarRange(O47)),"&lt;=" &amp; TODAY())))</f>
        <v>28</v>
      </c>
      <c r="T47" s="126"/>
      <c r="U47" s="126"/>
      <c r="V47" s="151">
        <v>0</v>
      </c>
      <c r="W47" s="152" t="str">
        <f ca="1">IF(U47="","0",IF(T47="","0",(U47-T47+1)-COUNTIFS(INDIRECT(getCalendarRange(O47)),"&gt;=" &amp; T47,INDIRECT(getCalendarRange(O47)),"&lt;=" &amp; U47)))</f>
        <v>0</v>
      </c>
      <c r="X47" s="153"/>
      <c r="Y47" s="184" t="s">
        <v>1107</v>
      </c>
      <c r="Z47" s="154"/>
      <c r="AA47" s="155">
        <v>0.61739130434782608</v>
      </c>
      <c r="AB47" s="156">
        <v>0</v>
      </c>
      <c r="AC47" s="209"/>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t="str">
        <f>I47 &amp; " " &amp; IF(M47="","",TEXT(M47,"M/D-")) &amp; IF(N47="","",TEXT(N47,"M/D")) &amp; " "</f>
        <v xml:space="preserve">라즈베리파이 2/13-4/25 </v>
      </c>
      <c r="DS47" s="207" t="str">
        <f>TEXT(AB47,"#0.00%") &amp; " "</f>
        <v xml:space="preserve">0.00% </v>
      </c>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c r="FG47" s="208"/>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c r="C48" s="147">
        <v>6</v>
      </c>
      <c r="D48" s="157" t="s">
        <v>1095</v>
      </c>
      <c r="E48" s="148"/>
      <c r="F48" s="148"/>
      <c r="G48" s="148"/>
      <c r="H48" s="148"/>
      <c r="I48" s="148"/>
      <c r="J48" s="183" t="s">
        <v>1166</v>
      </c>
      <c r="K48" s="148"/>
      <c r="L48" s="148"/>
      <c r="M48" s="126">
        <v>43509</v>
      </c>
      <c r="N48" s="126">
        <v>43529</v>
      </c>
      <c r="O48" s="148"/>
      <c r="P48" s="149">
        <v>21</v>
      </c>
      <c r="Q48" s="149">
        <v>21</v>
      </c>
      <c r="R48" s="150">
        <f ca="1">IF(M48="","0",(N48-M48+1)-COUNTIFS(INDIRECT(getCalendarRange(O48)),"&gt;=" &amp; M48,INDIRECT(getCalendarRange(O48)),"&lt;=" &amp; N48))</f>
        <v>21</v>
      </c>
      <c r="S48" s="150">
        <f ca="1">IF(M48&gt;TODAY(),0,IF(N48&lt;TODAY(),R48,(TODAY()-M48+1)-COUNTIFS(INDIRECT(getCalendarRange(O48)),"&gt;=" &amp; M48,INDIRECT(getCalendarRange(O48)),"&lt;=" &amp; TODAY())))</f>
        <v>21</v>
      </c>
      <c r="T48" s="126"/>
      <c r="U48" s="126"/>
      <c r="V48" s="151"/>
      <c r="W48" s="152" t="str">
        <f ca="1">IF(U48="","0",IF(T48="","0",(U48-T48+1)-COUNTIFS(INDIRECT(getCalendarRange(O48)),"&gt;=" &amp; T48,INDIRECT(getCalendarRange(O48)),"&lt;=" &amp; U48)))</f>
        <v>0</v>
      </c>
      <c r="X48" s="153">
        <v>1</v>
      </c>
      <c r="Y48" s="184" t="s">
        <v>1107</v>
      </c>
      <c r="Z48" s="154"/>
      <c r="AA48" s="155">
        <v>1</v>
      </c>
      <c r="AB48" s="156">
        <v>0</v>
      </c>
      <c r="AC48" s="209"/>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J48 &amp; " " &amp; IF(M48="","",TEXT(M48,"M/D-")) &amp; IF(N48="","",TEXT(N48,"M/D")) &amp; " "</f>
        <v xml:space="preserve">OS설치 및 환경구축 2/13-3/5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1096</v>
      </c>
      <c r="E49" s="148"/>
      <c r="F49" s="148"/>
      <c r="G49" s="148"/>
      <c r="H49" s="148"/>
      <c r="I49" s="148"/>
      <c r="J49" s="183" t="s">
        <v>1164</v>
      </c>
      <c r="K49" s="148"/>
      <c r="L49" s="148"/>
      <c r="M49" s="126">
        <v>43510</v>
      </c>
      <c r="N49" s="126">
        <v>43514</v>
      </c>
      <c r="O49" s="148"/>
      <c r="P49" s="149">
        <v>5</v>
      </c>
      <c r="Q49" s="149">
        <v>5</v>
      </c>
      <c r="R49" s="150">
        <f ca="1">IF(M49="","0",(N49-M49+1)-COUNTIFS(INDIRECT(getCalendarRange(O49)),"&gt;=" &amp; M49,INDIRECT(getCalendarRange(O49)),"&lt;=" &amp; N49))</f>
        <v>5</v>
      </c>
      <c r="S49" s="150">
        <f ca="1">IF(M49&gt;TODAY(),0,IF(N49&lt;TODAY(),R49,(TODAY()-M49+1)-COUNTIFS(INDIRECT(getCalendarRange(O49)),"&gt;=" &amp; M49,INDIRECT(getCalendarRange(O49)),"&lt;=" &amp; TODAY())))</f>
        <v>5</v>
      </c>
      <c r="T49" s="126"/>
      <c r="U49" s="126"/>
      <c r="V49" s="151"/>
      <c r="W49" s="152" t="str">
        <f ca="1">IF(U49="","0",IF(T49="","0",(U49-T49+1)-COUNTIFS(INDIRECT(getCalendarRange(O49)),"&gt;=" &amp; T49,INDIRECT(getCalendarRange(O49)),"&lt;=" &amp; U49)))</f>
        <v>0</v>
      </c>
      <c r="X49" s="153">
        <v>1</v>
      </c>
      <c r="Y49" s="184" t="s">
        <v>1107</v>
      </c>
      <c r="Z49" s="154"/>
      <c r="AA49" s="155">
        <v>1</v>
      </c>
      <c r="AB49" s="156">
        <v>0</v>
      </c>
      <c r="AC49" s="209"/>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c r="DS49" s="208" t="str">
        <f>J49 &amp; " " &amp; IF(M49="","",TEXT(M49,"M/D-")) &amp; IF(N49="","",TEXT(N49,"M/D")) &amp; " "</f>
        <v xml:space="preserve">Respeaker 2/14-2/18 </v>
      </c>
      <c r="DT49" s="207" t="str">
        <f>TEXT(AB49,"#0.00%") &amp; " "</f>
        <v xml:space="preserve">0.00% </v>
      </c>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1097</v>
      </c>
      <c r="E50" s="148"/>
      <c r="F50" s="148"/>
      <c r="G50" s="148"/>
      <c r="H50" s="148"/>
      <c r="I50" s="148"/>
      <c r="J50" s="184" t="s">
        <v>1108</v>
      </c>
      <c r="K50" s="148"/>
      <c r="L50" s="148"/>
      <c r="M50" s="126">
        <v>43511</v>
      </c>
      <c r="N50" s="126">
        <v>43516</v>
      </c>
      <c r="O50" s="148"/>
      <c r="P50" s="149">
        <v>6</v>
      </c>
      <c r="Q50" s="149">
        <v>6</v>
      </c>
      <c r="R50" s="150">
        <f ca="1">IF(M50="","0",(N50-M50+1)-COUNTIFS(INDIRECT(getCalendarRange(O50)),"&gt;=" &amp; M50,INDIRECT(getCalendarRange(O50)),"&lt;=" &amp; N50))</f>
        <v>6</v>
      </c>
      <c r="S50" s="150">
        <f ca="1">IF(M50&gt;TODAY(),0,IF(N50&lt;TODAY(),R50,(TODAY()-M50+1)-COUNTIFS(INDIRECT(getCalendarRange(O50)),"&gt;=" &amp; M50,INDIRECT(getCalendarRange(O50)),"&lt;=" &amp; TODAY())))</f>
        <v>6</v>
      </c>
      <c r="T50" s="126"/>
      <c r="U50" s="126"/>
      <c r="V50" s="151"/>
      <c r="W50" s="152" t="str">
        <f ca="1">IF(U50="","0",IF(T50="","0",(U50-T50+1)-COUNTIFS(INDIRECT(getCalendarRange(O50)),"&gt;=" &amp; T50,INDIRECT(getCalendarRange(O50)),"&lt;=" &amp; U50)))</f>
        <v>0</v>
      </c>
      <c r="X50" s="153">
        <v>1</v>
      </c>
      <c r="Y50" s="184" t="s">
        <v>1107</v>
      </c>
      <c r="Z50" s="154"/>
      <c r="AA50" s="155">
        <v>1</v>
      </c>
      <c r="AB50" s="156">
        <v>0</v>
      </c>
      <c r="AC50" s="209"/>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c r="DT50" s="208" t="str">
        <f>J50 &amp; " " &amp; IF(M50="","",TEXT(M50,"M/D-")) &amp; IF(N50="","",TEXT(N50,"M/D")) &amp; " "</f>
        <v xml:space="preserve">초음파 가습기 2/15-2/20 </v>
      </c>
      <c r="DU50" s="207" t="str">
        <f>TEXT(AB50,"#0.00%") &amp; " "</f>
        <v xml:space="preserve">0.00% </v>
      </c>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1098</v>
      </c>
      <c r="E51" s="148"/>
      <c r="F51" s="148"/>
      <c r="G51" s="148"/>
      <c r="H51" s="148"/>
      <c r="I51" s="148"/>
      <c r="J51" s="183" t="s">
        <v>1090</v>
      </c>
      <c r="K51" s="148"/>
      <c r="L51" s="148"/>
      <c r="M51" s="126">
        <v>43512</v>
      </c>
      <c r="N51" s="126">
        <v>43514</v>
      </c>
      <c r="O51" s="148"/>
      <c r="P51" s="149">
        <v>3</v>
      </c>
      <c r="Q51" s="149">
        <v>3</v>
      </c>
      <c r="R51" s="150">
        <f ca="1">IF(M51="","0",(N51-M51+1)-COUNTIFS(INDIRECT(getCalendarRange(O51)),"&gt;=" &amp; M51,INDIRECT(getCalendarRange(O51)),"&lt;=" &amp; N51))</f>
        <v>3</v>
      </c>
      <c r="S51" s="150">
        <f ca="1">IF(M51&gt;TODAY(),0,IF(N51&lt;TODAY(),R51,(TODAY()-M51+1)-COUNTIFS(INDIRECT(getCalendarRange(O51)),"&gt;=" &amp; M51,INDIRECT(getCalendarRange(O51)),"&lt;=" &amp; TODAY())))</f>
        <v>3</v>
      </c>
      <c r="T51" s="126"/>
      <c r="U51" s="126"/>
      <c r="V51" s="151"/>
      <c r="W51" s="152" t="str">
        <f ca="1">IF(U51="","0",IF(T51="","0",(U51-T51+1)-COUNTIFS(INDIRECT(getCalendarRange(O51)),"&gt;=" &amp; T51,INDIRECT(getCalendarRange(O51)),"&lt;=" &amp; U51)))</f>
        <v>0</v>
      </c>
      <c r="X51" s="153">
        <v>1</v>
      </c>
      <c r="Y51" s="184" t="s">
        <v>1107</v>
      </c>
      <c r="Z51" s="154"/>
      <c r="AA51" s="155">
        <v>1</v>
      </c>
      <c r="AB51" s="156">
        <v>0</v>
      </c>
      <c r="AC51" s="209"/>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c r="DU51" s="208" t="str">
        <f>J51 &amp; " " &amp; IF(M51="","",TEXT(M51,"M/D-")) &amp; IF(N51="","",TEXT(N51,"M/D")) &amp; " "</f>
        <v xml:space="preserve">고정밀 온습도 센서 2/16-2/18 </v>
      </c>
      <c r="DV51" s="207" t="str">
        <f>TEXT(AB51,"#0.00%") &amp; " "</f>
        <v xml:space="preserve">0.00% </v>
      </c>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1099</v>
      </c>
      <c r="E52" s="148"/>
      <c r="F52" s="148"/>
      <c r="G52" s="148"/>
      <c r="H52" s="148"/>
      <c r="I52" s="148"/>
      <c r="J52" s="183" t="s">
        <v>1092</v>
      </c>
      <c r="K52" s="148"/>
      <c r="L52" s="148"/>
      <c r="M52" s="126">
        <v>43513</v>
      </c>
      <c r="N52" s="126">
        <v>43524</v>
      </c>
      <c r="O52" s="148"/>
      <c r="P52" s="149">
        <v>12</v>
      </c>
      <c r="Q52" s="149">
        <v>12</v>
      </c>
      <c r="R52" s="150">
        <f ca="1">IF(M52="","0",(N52-M52+1)-COUNTIFS(INDIRECT(getCalendarRange(O52)),"&gt;=" &amp; M52,INDIRECT(getCalendarRange(O52)),"&lt;=" &amp; N52))</f>
        <v>12</v>
      </c>
      <c r="S52" s="150">
        <f ca="1">IF(M52&gt;TODAY(),0,IF(N52&lt;TODAY(),R52,(TODAY()-M52+1)-COUNTIFS(INDIRECT(getCalendarRange(O52)),"&gt;=" &amp; M52,INDIRECT(getCalendarRange(O52)),"&lt;=" &amp; TODAY())))</f>
        <v>12</v>
      </c>
      <c r="T52" s="126"/>
      <c r="U52" s="126"/>
      <c r="V52" s="151"/>
      <c r="W52" s="152" t="str">
        <f ca="1">IF(U52="","0",IF(T52="","0",(U52-T52+1)-COUNTIFS(INDIRECT(getCalendarRange(O52)),"&gt;=" &amp; T52,INDIRECT(getCalendarRange(O52)),"&lt;=" &amp; U52)))</f>
        <v>0</v>
      </c>
      <c r="X52" s="153">
        <v>1</v>
      </c>
      <c r="Y52" s="184" t="s">
        <v>1107</v>
      </c>
      <c r="Z52" s="154"/>
      <c r="AA52" s="155">
        <v>1</v>
      </c>
      <c r="AB52" s="156">
        <v>0</v>
      </c>
      <c r="AC52" s="209"/>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c r="DV52" s="208" t="str">
        <f>J52 &amp; " " &amp; IF(M52="","",TEXT(M52,"M/D-")) &amp; IF(N52="","",TEXT(N52,"M/D")) &amp; " "</f>
        <v xml:space="preserve">LED 2/17-2/28 </v>
      </c>
      <c r="DW52" s="207" t="str">
        <f>TEXT(AB52,"#0.00%") &amp; " "</f>
        <v xml:space="preserve">0.00% </v>
      </c>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1100</v>
      </c>
      <c r="E53" s="148"/>
      <c r="F53" s="148"/>
      <c r="G53" s="148"/>
      <c r="H53" s="148"/>
      <c r="I53" s="148"/>
      <c r="J53" s="183" t="s">
        <v>1091</v>
      </c>
      <c r="K53" s="148"/>
      <c r="L53" s="148"/>
      <c r="M53" s="126">
        <v>43514</v>
      </c>
      <c r="N53" s="126">
        <v>43529</v>
      </c>
      <c r="O53" s="148"/>
      <c r="P53" s="149">
        <v>16</v>
      </c>
      <c r="Q53" s="149">
        <v>16</v>
      </c>
      <c r="R53" s="150">
        <f ca="1">IF(M53="","0",(N53-M53+1)-COUNTIFS(INDIRECT(getCalendarRange(O53)),"&gt;=" &amp; M53,INDIRECT(getCalendarRange(O53)),"&lt;=" &amp; N53))</f>
        <v>16</v>
      </c>
      <c r="S53" s="150">
        <f ca="1">IF(M53&gt;TODAY(),0,IF(N53&lt;TODAY(),R53,(TODAY()-M53+1)-COUNTIFS(INDIRECT(getCalendarRange(O53)),"&gt;=" &amp; M53,INDIRECT(getCalendarRange(O53)),"&lt;=" &amp; TODAY())))</f>
        <v>16</v>
      </c>
      <c r="T53" s="126"/>
      <c r="U53" s="126"/>
      <c r="V53" s="151"/>
      <c r="W53" s="152" t="str">
        <f ca="1">IF(U53="","0",IF(T53="","0",(U53-T53+1)-COUNTIFS(INDIRECT(getCalendarRange(O53)),"&gt;=" &amp; T53,INDIRECT(getCalendarRange(O53)),"&lt;=" &amp; U53)))</f>
        <v>0</v>
      </c>
      <c r="X53" s="153">
        <v>1</v>
      </c>
      <c r="Y53" s="184" t="s">
        <v>1107</v>
      </c>
      <c r="Z53" s="154"/>
      <c r="AA53" s="155">
        <v>1</v>
      </c>
      <c r="AB53" s="156">
        <v>0</v>
      </c>
      <c r="AC53" s="209"/>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c r="DW53" s="208" t="str">
        <f>J53 &amp; " " &amp; IF(M53="","",TEXT(M53,"M/D-")) &amp; IF(N53="","",TEXT(N53,"M/D")) &amp; " "</f>
        <v xml:space="preserve">멀티채널 가스센서 2/18-3/5 </v>
      </c>
      <c r="DX53" s="207" t="str">
        <f>TEXT(AB53,"#0.00%") &amp; " "</f>
        <v xml:space="preserve">0.00% </v>
      </c>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1145</v>
      </c>
      <c r="E54" s="148"/>
      <c r="F54" s="148"/>
      <c r="G54" s="148"/>
      <c r="H54" s="148"/>
      <c r="I54" s="148"/>
      <c r="J54" s="183" t="s">
        <v>1146</v>
      </c>
      <c r="K54" s="148"/>
      <c r="L54" s="148"/>
      <c r="M54" s="126">
        <v>43529</v>
      </c>
      <c r="N54" s="126">
        <v>43580</v>
      </c>
      <c r="O54" s="148"/>
      <c r="P54" s="149">
        <v>52</v>
      </c>
      <c r="Q54" s="149">
        <v>8</v>
      </c>
      <c r="R54" s="150">
        <f ca="1">IF(M54="","0",(N54-M54+1)-COUNTIFS(INDIRECT(getCalendarRange(O54)),"&gt;=" &amp; M54,INDIRECT(getCalendarRange(O54)),"&lt;=" &amp; N54))</f>
        <v>52</v>
      </c>
      <c r="S54" s="150">
        <f ca="1">IF(M54&gt;TODAY(),0,IF(N54&lt;TODAY(),R54,(TODAY()-M54+1)-COUNTIFS(INDIRECT(getCalendarRange(O54)),"&gt;=" &amp; M54,INDIRECT(getCalendarRange(O54)),"&lt;=" &amp; TODAY())))</f>
        <v>8</v>
      </c>
      <c r="T54" s="126"/>
      <c r="U54" s="126"/>
      <c r="V54" s="151"/>
      <c r="W54" s="152" t="str">
        <f ca="1">IF(U54="","0",IF(T54="","0",(U54-T54+1)-COUNTIFS(INDIRECT(getCalendarRange(O54)),"&gt;=" &amp; T54,INDIRECT(getCalendarRange(O54)),"&lt;=" &amp; U54)))</f>
        <v>0</v>
      </c>
      <c r="X54" s="153">
        <v>1</v>
      </c>
      <c r="Y54" s="184" t="s">
        <v>1107</v>
      </c>
      <c r="Z54" s="154"/>
      <c r="AA54" s="156">
        <v>0.15384615384615385</v>
      </c>
      <c r="AB54" s="156">
        <v>0</v>
      </c>
      <c r="AC54" s="209"/>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c r="DX54" s="208"/>
      <c r="DY54" s="208"/>
      <c r="DZ54" s="208"/>
      <c r="EA54" s="208"/>
      <c r="EB54" s="208"/>
      <c r="EC54" s="208"/>
      <c r="ED54" s="208"/>
      <c r="EE54" s="208"/>
      <c r="EF54" s="208"/>
      <c r="EG54" s="208"/>
      <c r="EH54" s="208"/>
      <c r="EI54" s="208"/>
      <c r="EJ54" s="208"/>
      <c r="EK54" s="208"/>
      <c r="EL54" s="208" t="str">
        <f>J54 &amp; " " &amp; IF(M54="","",TEXT(M54,"M/D-")) &amp; IF(N54="","",TEXT(N54,"M/D")) &amp; " "</f>
        <v xml:space="preserve">디퓨저 디자인 3/5-4/25 </v>
      </c>
      <c r="EM54" s="207" t="str">
        <f>TEXT(AB54,"#0.00%") &amp; " "</f>
        <v xml:space="preserve">0.00% </v>
      </c>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t="s">
        <v>996</v>
      </c>
      <c r="C55" s="147">
        <v>5</v>
      </c>
      <c r="D55" s="157" t="s">
        <v>979</v>
      </c>
      <c r="E55" s="148"/>
      <c r="F55" s="148"/>
      <c r="G55" s="148"/>
      <c r="H55" s="148"/>
      <c r="I55" s="184" t="s">
        <v>1109</v>
      </c>
      <c r="J55" s="148"/>
      <c r="K55" s="148"/>
      <c r="L55" s="148"/>
      <c r="M55" s="126">
        <v>43497</v>
      </c>
      <c r="N55" s="126">
        <v>43573</v>
      </c>
      <c r="O55" s="148"/>
      <c r="P55" s="149">
        <v>106</v>
      </c>
      <c r="Q55" s="149">
        <v>59</v>
      </c>
      <c r="R55" s="150">
        <f ca="1">IF(M55="","0",(N55-M55+1)-COUNTIFS(INDIRECT(getCalendarRange(O55)),"&gt;=" &amp; M55,INDIRECT(getCalendarRange(O55)),"&lt;=" &amp; N55))</f>
        <v>77</v>
      </c>
      <c r="S55" s="150">
        <f ca="1">IF(M55&gt;TODAY(),0,IF(N55&lt;TODAY(),R55,(TODAY()-M55+1)-COUNTIFS(INDIRECT(getCalendarRange(O55)),"&gt;=" &amp; M55,INDIRECT(getCalendarRange(O55)),"&lt;=" &amp; TODAY())))</f>
        <v>40</v>
      </c>
      <c r="T55" s="126"/>
      <c r="U55" s="126"/>
      <c r="V55" s="151">
        <v>0</v>
      </c>
      <c r="W55" s="152" t="str">
        <f ca="1">IF(U55="","0",IF(T55="","0",(U55-T55+1)-COUNTIFS(INDIRECT(getCalendarRange(O55)),"&gt;=" &amp; T55,INDIRECT(getCalendarRange(O55)),"&lt;=" &amp; U55)))</f>
        <v>0</v>
      </c>
      <c r="X55" s="153"/>
      <c r="Y55" s="183" t="s">
        <v>1112</v>
      </c>
      <c r="Z55" s="154"/>
      <c r="AA55" s="155">
        <v>0.55660377358490565</v>
      </c>
      <c r="AB55" s="156">
        <v>0</v>
      </c>
      <c r="AC55" s="209"/>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t="str">
        <f>I55 &amp; " " &amp; IF(M55="","",TEXT(M55,"M/D-")) &amp; IF(N55="","",TEXT(N55,"M/D")) &amp; " "</f>
        <v xml:space="preserve">사이트 개발 2/1-4/18 </v>
      </c>
      <c r="DG55" s="207" t="str">
        <f>TEXT(AB55,"#0.00%") &amp; " "</f>
        <v xml:space="preserve">0.00% </v>
      </c>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c r="EM55" s="208"/>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6</v>
      </c>
      <c r="D56" s="157" t="s">
        <v>1101</v>
      </c>
      <c r="E56" s="148"/>
      <c r="F56" s="148"/>
      <c r="G56" s="148"/>
      <c r="H56" s="148"/>
      <c r="I56" s="148"/>
      <c r="J56" s="183" t="s">
        <v>1094</v>
      </c>
      <c r="K56" s="148"/>
      <c r="L56" s="148"/>
      <c r="M56" s="126">
        <v>43497</v>
      </c>
      <c r="N56" s="126">
        <v>43573</v>
      </c>
      <c r="O56" s="148"/>
      <c r="P56" s="149">
        <v>106</v>
      </c>
      <c r="Q56" s="149">
        <v>59</v>
      </c>
      <c r="R56" s="150">
        <f ca="1">IF(M56="","0",(N56-M56+1)-COUNTIFS(INDIRECT(getCalendarRange(O56)),"&gt;=" &amp; M56,INDIRECT(getCalendarRange(O56)),"&lt;=" &amp; N56))</f>
        <v>77</v>
      </c>
      <c r="S56" s="150">
        <f ca="1">IF(M56&gt;TODAY(),0,IF(N56&lt;TODAY(),R56,(TODAY()-M56+1)-COUNTIFS(INDIRECT(getCalendarRange(O56)),"&gt;=" &amp; M56,INDIRECT(getCalendarRange(O56)),"&lt;=" &amp; TODAY())))</f>
        <v>40</v>
      </c>
      <c r="T56" s="126"/>
      <c r="U56" s="126"/>
      <c r="V56" s="151">
        <v>0</v>
      </c>
      <c r="W56" s="152" t="str">
        <f ca="1">IF(U56="","0",IF(T56="","0",(U56-T56+1)-COUNTIFS(INDIRECT(getCalendarRange(O56)),"&gt;=" &amp; T56,INDIRECT(getCalendarRange(O56)),"&lt;=" &amp; U56)))</f>
        <v>0</v>
      </c>
      <c r="X56" s="153"/>
      <c r="Y56" s="183" t="s">
        <v>1112</v>
      </c>
      <c r="Z56" s="154"/>
      <c r="AA56" s="155">
        <v>0.55660377358490565</v>
      </c>
      <c r="AB56" s="156">
        <v>0</v>
      </c>
      <c r="AC56" s="209"/>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t="str">
        <f>J56 &amp; " " &amp; IF(M56="","",TEXT(M56,"M/D-")) &amp; IF(N56="","",TEXT(N56,"M/D")) &amp; " "</f>
        <v xml:space="preserve">Vue.js 구현 2/1-4/18 </v>
      </c>
      <c r="DG56" s="207" t="str">
        <f>TEXT(AB56,"#0.00%") &amp; " "</f>
        <v xml:space="preserve">0.00% </v>
      </c>
      <c r="DH56" s="208"/>
      <c r="DI56" s="208"/>
      <c r="DJ56" s="208"/>
      <c r="DK56" s="208"/>
      <c r="DL56" s="208"/>
      <c r="DM56" s="208"/>
      <c r="DN56" s="208"/>
      <c r="DO56" s="208"/>
      <c r="DP56" s="208"/>
      <c r="DQ56" s="208"/>
      <c r="DR56" s="208"/>
      <c r="DS56" s="208"/>
      <c r="DT56" s="208"/>
      <c r="DU56" s="208"/>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c r="C57" s="147">
        <v>7</v>
      </c>
      <c r="D57" s="157" t="s">
        <v>1102</v>
      </c>
      <c r="E57" s="148"/>
      <c r="F57" s="148"/>
      <c r="G57" s="148"/>
      <c r="H57" s="148"/>
      <c r="I57" s="148"/>
      <c r="J57" s="183"/>
      <c r="K57" s="183" t="s">
        <v>1113</v>
      </c>
      <c r="L57" s="148"/>
      <c r="M57" s="126">
        <v>43497</v>
      </c>
      <c r="N57" s="126">
        <v>43503</v>
      </c>
      <c r="O57" s="148"/>
      <c r="P57" s="149">
        <v>7</v>
      </c>
      <c r="Q57" s="149">
        <v>7</v>
      </c>
      <c r="R57" s="150">
        <f ca="1">IF(M57="","0",(N57-M57+1)-COUNTIFS(INDIRECT(getCalendarRange(O57)),"&gt;=" &amp; M57,INDIRECT(getCalendarRange(O57)),"&lt;=" &amp; N57))</f>
        <v>7</v>
      </c>
      <c r="S57" s="150">
        <f ca="1">IF(M57&gt;TODAY(),0,IF(N57&lt;TODAY(),R57,(TODAY()-M57+1)-COUNTIFS(INDIRECT(getCalendarRange(O57)),"&gt;=" &amp; M57,INDIRECT(getCalendarRange(O57)),"&lt;=" &amp; TODAY())))</f>
        <v>7</v>
      </c>
      <c r="T57" s="126"/>
      <c r="U57" s="126"/>
      <c r="V57" s="151"/>
      <c r="W57" s="152" t="str">
        <f ca="1">IF(U57="","0",IF(T57="","0",(U57-T57+1)-COUNTIFS(INDIRECT(getCalendarRange(O57)),"&gt;=" &amp; T57,INDIRECT(getCalendarRange(O57)),"&lt;=" &amp; U57)))</f>
        <v>0</v>
      </c>
      <c r="X57" s="153">
        <v>1</v>
      </c>
      <c r="Y57" s="183" t="s">
        <v>1112</v>
      </c>
      <c r="Z57" s="154"/>
      <c r="AA57" s="155">
        <v>1</v>
      </c>
      <c r="AB57" s="156">
        <v>0</v>
      </c>
      <c r="AC57" s="209"/>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t="str">
        <f>K57 &amp; " " &amp; IF(M57="","",TEXT(M57,"M/D-")) &amp; IF(N57="","",TEXT(N57,"M/D")) &amp; " "</f>
        <v xml:space="preserve">제품소개 2/1-2/7 </v>
      </c>
      <c r="DG57" s="207" t="str">
        <f>TEXT(AB57,"#0.00%") &amp; " "</f>
        <v xml:space="preserve">0.00% </v>
      </c>
      <c r="DH57" s="208"/>
      <c r="DI57" s="208"/>
      <c r="DJ57" s="208"/>
      <c r="DK57" s="208"/>
      <c r="DL57" s="208"/>
      <c r="DM57" s="208"/>
      <c r="DN57" s="208"/>
      <c r="DO57" s="208"/>
      <c r="DP57" s="208"/>
      <c r="DQ57" s="208"/>
      <c r="DR57" s="208"/>
      <c r="DS57" s="208"/>
      <c r="DT57" s="208"/>
      <c r="DU57" s="208"/>
      <c r="DV57" s="208"/>
      <c r="DW57" s="208"/>
      <c r="DX57" s="208"/>
      <c r="DY57" s="208"/>
      <c r="DZ57" s="208"/>
      <c r="EA57" s="208"/>
      <c r="EB57" s="208"/>
      <c r="EC57" s="208"/>
      <c r="ED57" s="208"/>
      <c r="EE57" s="208"/>
      <c r="EF57" s="208"/>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1119</v>
      </c>
      <c r="E58" s="148"/>
      <c r="F58" s="148"/>
      <c r="G58" s="148"/>
      <c r="H58" s="148"/>
      <c r="I58" s="148"/>
      <c r="J58" s="183"/>
      <c r="K58" s="183" t="s">
        <v>1115</v>
      </c>
      <c r="L58" s="148"/>
      <c r="M58" s="126">
        <v>43497</v>
      </c>
      <c r="N58" s="126">
        <v>43503</v>
      </c>
      <c r="O58" s="148"/>
      <c r="P58" s="149">
        <v>7</v>
      </c>
      <c r="Q58" s="149">
        <v>7</v>
      </c>
      <c r="R58" s="150">
        <f ca="1">IF(M58="","0",(N58-M58+1)-COUNTIFS(INDIRECT(getCalendarRange(O58)),"&gt;=" &amp; M58,INDIRECT(getCalendarRange(O58)),"&lt;=" &amp; N58))</f>
        <v>7</v>
      </c>
      <c r="S58" s="150">
        <f ca="1">IF(M58&gt;TODAY(),0,IF(N58&lt;TODAY(),R58,(TODAY()-M58+1)-COUNTIFS(INDIRECT(getCalendarRange(O58)),"&gt;=" &amp; M58,INDIRECT(getCalendarRange(O58)),"&lt;=" &amp; TODAY())))</f>
        <v>7</v>
      </c>
      <c r="T58" s="126"/>
      <c r="U58" s="126"/>
      <c r="V58" s="151"/>
      <c r="W58" s="152" t="str">
        <f ca="1">IF(U58="","0",IF(T58="","0",(U58-T58+1)-COUNTIFS(INDIRECT(getCalendarRange(O58)),"&gt;=" &amp; T58,INDIRECT(getCalendarRange(O58)),"&lt;=" &amp; U58)))</f>
        <v>0</v>
      </c>
      <c r="X58" s="153">
        <v>1</v>
      </c>
      <c r="Y58" s="183" t="s">
        <v>1112</v>
      </c>
      <c r="Z58" s="154"/>
      <c r="AA58" s="155">
        <v>1</v>
      </c>
      <c r="AB58" s="156">
        <v>0</v>
      </c>
      <c r="AC58" s="209"/>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t="str">
        <f>K58 &amp; " " &amp; IF(M58="","",TEXT(M58,"M/D-")) &amp; IF(N58="","",TEXT(N58,"M/D")) &amp; " "</f>
        <v xml:space="preserve">문의사항 2/1-2/7 </v>
      </c>
      <c r="DG58" s="207" t="str">
        <f>TEXT(AB58,"#0.00%") &amp; " "</f>
        <v xml:space="preserve">0.00% </v>
      </c>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c r="EF58" s="208"/>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1120</v>
      </c>
      <c r="E59" s="148"/>
      <c r="F59" s="148"/>
      <c r="G59" s="148"/>
      <c r="H59" s="148"/>
      <c r="I59" s="148"/>
      <c r="J59" s="183"/>
      <c r="K59" s="183" t="s">
        <v>1165</v>
      </c>
      <c r="L59" s="148"/>
      <c r="M59" s="126">
        <v>43548</v>
      </c>
      <c r="N59" s="126">
        <v>43555</v>
      </c>
      <c r="O59" s="148"/>
      <c r="P59" s="149">
        <v>8</v>
      </c>
      <c r="Q59" s="149">
        <v>0</v>
      </c>
      <c r="R59" s="150">
        <f ca="1">IF(M59="","0",(N59-M59+1)-COUNTIFS(INDIRECT(getCalendarRange(O59)),"&gt;=" &amp; M59,INDIRECT(getCalendarRange(O59)),"&lt;=" &amp; N59))</f>
        <v>8</v>
      </c>
      <c r="S59" s="150">
        <f ca="1">IF(M59&gt;TODAY(),0,IF(N59&lt;TODAY(),R59,(TODAY()-M59+1)-COUNTIFS(INDIRECT(getCalendarRange(O59)),"&gt;=" &amp; M59,INDIRECT(getCalendarRange(O59)),"&lt;=" &amp; TODAY())))</f>
        <v>0</v>
      </c>
      <c r="T59" s="126"/>
      <c r="U59" s="126"/>
      <c r="V59" s="151"/>
      <c r="W59" s="152" t="str">
        <f ca="1">IF(U59="","0",IF(T59="","0",(U59-T59+1)-COUNTIFS(INDIRECT(getCalendarRange(O59)),"&gt;=" &amp; T59,INDIRECT(getCalendarRange(O59)),"&lt;=" &amp; U59)))</f>
        <v>0</v>
      </c>
      <c r="X59" s="153">
        <v>1</v>
      </c>
      <c r="Y59" s="183" t="s">
        <v>1112</v>
      </c>
      <c r="Z59" s="154"/>
      <c r="AA59" s="155">
        <v>0</v>
      </c>
      <c r="AB59" s="156">
        <v>0</v>
      </c>
      <c r="AC59" s="209"/>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c r="DG59" s="208"/>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c r="EG59" s="208"/>
      <c r="EH59" s="208"/>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t="str">
        <f>K59 &amp; " " &amp; IF(M59="","",TEXT(M59,"M/D-")) &amp; IF(N59="","",TEXT(N59,"M/D")) &amp; " "</f>
        <v xml:space="preserve">감정 그래프 3/24-3/31 </v>
      </c>
      <c r="FF59" s="207" t="str">
        <f>TEXT(AB59,"#0.00%") &amp; " "</f>
        <v xml:space="preserve">0.00% </v>
      </c>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1121</v>
      </c>
      <c r="E60" s="148"/>
      <c r="F60" s="148"/>
      <c r="G60" s="148"/>
      <c r="H60" s="148"/>
      <c r="I60" s="148"/>
      <c r="J60" s="183"/>
      <c r="K60" s="183" t="s">
        <v>1116</v>
      </c>
      <c r="L60" s="148"/>
      <c r="M60" s="126">
        <v>43503</v>
      </c>
      <c r="N60" s="126">
        <v>43510</v>
      </c>
      <c r="O60" s="148"/>
      <c r="P60" s="149">
        <v>8</v>
      </c>
      <c r="Q60" s="149">
        <v>8</v>
      </c>
      <c r="R60" s="150">
        <f ca="1">IF(M60="","0",(N60-M60+1)-COUNTIFS(INDIRECT(getCalendarRange(O60)),"&gt;=" &amp; M60,INDIRECT(getCalendarRange(O60)),"&lt;=" &amp; N60))</f>
        <v>8</v>
      </c>
      <c r="S60" s="150">
        <f ca="1">IF(M60&gt;TODAY(),0,IF(N60&lt;TODAY(),R60,(TODAY()-M60+1)-COUNTIFS(INDIRECT(getCalendarRange(O60)),"&gt;=" &amp; M60,INDIRECT(getCalendarRange(O60)),"&lt;=" &amp; TODAY())))</f>
        <v>8</v>
      </c>
      <c r="T60" s="126"/>
      <c r="U60" s="126"/>
      <c r="V60" s="151"/>
      <c r="W60" s="152" t="str">
        <f ca="1">IF(U60="","0",IF(T60="","0",(U60-T60+1)-COUNTIFS(INDIRECT(getCalendarRange(O60)),"&gt;=" &amp; T60,INDIRECT(getCalendarRange(O60)),"&lt;=" &amp; U60)))</f>
        <v>0</v>
      </c>
      <c r="X60" s="153">
        <v>1</v>
      </c>
      <c r="Y60" s="183" t="s">
        <v>1112</v>
      </c>
      <c r="Z60" s="154"/>
      <c r="AA60" s="155">
        <v>1</v>
      </c>
      <c r="AB60" s="156">
        <v>0</v>
      </c>
      <c r="AC60" s="209"/>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t="str">
        <f>K60 &amp; " " &amp; IF(M60="","",TEXT(M60,"M/D-")) &amp; IF(N60="","",TEXT(N60,"M/D")) &amp; " "</f>
        <v xml:space="preserve">디퓨저 판매 2/7-2/14 </v>
      </c>
      <c r="DM60" s="207" t="str">
        <f>TEXT(AB60,"#0.00%") &amp; " "</f>
        <v xml:space="preserve">0.00% </v>
      </c>
      <c r="DN60" s="208"/>
      <c r="DO60" s="208"/>
      <c r="DP60" s="208"/>
      <c r="DQ60" s="208"/>
      <c r="DR60" s="208"/>
      <c r="DS60" s="208"/>
      <c r="DT60" s="208"/>
      <c r="DU60" s="208"/>
      <c r="DV60" s="208"/>
      <c r="DW60" s="208"/>
      <c r="DX60" s="208"/>
      <c r="DY60" s="208"/>
      <c r="DZ60" s="208"/>
      <c r="EA60" s="208"/>
      <c r="EB60" s="208"/>
      <c r="EC60" s="208"/>
      <c r="ED60" s="208"/>
      <c r="EE60" s="208"/>
      <c r="EF60" s="208"/>
      <c r="EG60" s="208"/>
      <c r="EH60" s="208"/>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c r="FF60" s="208"/>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1122</v>
      </c>
      <c r="E61" s="148"/>
      <c r="F61" s="148"/>
      <c r="G61" s="148"/>
      <c r="H61" s="148"/>
      <c r="I61" s="148"/>
      <c r="J61" s="183"/>
      <c r="K61" s="184" t="s">
        <v>1169</v>
      </c>
      <c r="L61" s="148"/>
      <c r="M61" s="126">
        <v>43503</v>
      </c>
      <c r="N61" s="126">
        <v>43510</v>
      </c>
      <c r="O61" s="148"/>
      <c r="P61" s="149">
        <v>8</v>
      </c>
      <c r="Q61" s="149">
        <v>8</v>
      </c>
      <c r="R61" s="150">
        <f ca="1">IF(M61="","0",(N61-M61+1)-COUNTIFS(INDIRECT(getCalendarRange(O61)),"&gt;=" &amp; M61,INDIRECT(getCalendarRange(O61)),"&lt;=" &amp; N61))</f>
        <v>8</v>
      </c>
      <c r="S61" s="150">
        <f ca="1">IF(M61&gt;TODAY(),0,IF(N61&lt;TODAY(),R61,(TODAY()-M61+1)-COUNTIFS(INDIRECT(getCalendarRange(O61)),"&gt;=" &amp; M61,INDIRECT(getCalendarRange(O61)),"&lt;=" &amp; TODAY())))</f>
        <v>8</v>
      </c>
      <c r="T61" s="126"/>
      <c r="U61" s="126"/>
      <c r="V61" s="151"/>
      <c r="W61" s="152" t="str">
        <f ca="1">IF(U61="","0",IF(T61="","0",(U61-T61+1)-COUNTIFS(INDIRECT(getCalendarRange(O61)),"&gt;=" &amp; T61,INDIRECT(getCalendarRange(O61)),"&lt;=" &amp; U61)))</f>
        <v>0</v>
      </c>
      <c r="X61" s="153">
        <v>1</v>
      </c>
      <c r="Y61" s="183" t="s">
        <v>1112</v>
      </c>
      <c r="Z61" s="154"/>
      <c r="AA61" s="155">
        <v>1</v>
      </c>
      <c r="AB61" s="156">
        <v>0</v>
      </c>
      <c r="AC61" s="209"/>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t="str">
        <f>K61 &amp; " " &amp; IF(M61="","",TEXT(M61,"M/D-")) &amp; IF(N61="","",TEXT(N61,"M/D")) &amp; " "</f>
        <v xml:space="preserve">제품,리필용액 판매 2/7-2/14 </v>
      </c>
      <c r="DM61" s="207" t="str">
        <f>TEXT(AB61,"#0.00%") &amp; " "</f>
        <v xml:space="preserve">0.00% </v>
      </c>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c r="FF61" s="208"/>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1123</v>
      </c>
      <c r="E62" s="148"/>
      <c r="F62" s="148"/>
      <c r="G62" s="148"/>
      <c r="H62" s="148"/>
      <c r="I62" s="148"/>
      <c r="J62" s="183"/>
      <c r="K62" s="183" t="s">
        <v>1117</v>
      </c>
      <c r="L62" s="148"/>
      <c r="M62" s="126">
        <v>43510</v>
      </c>
      <c r="N62" s="126">
        <v>43517</v>
      </c>
      <c r="O62" s="148"/>
      <c r="P62" s="149">
        <v>8</v>
      </c>
      <c r="Q62" s="149">
        <v>8</v>
      </c>
      <c r="R62" s="150">
        <f ca="1">IF(M62="","0",(N62-M62+1)-COUNTIFS(INDIRECT(getCalendarRange(O62)),"&gt;=" &amp; M62,INDIRECT(getCalendarRange(O62)),"&lt;=" &amp; N62))</f>
        <v>8</v>
      </c>
      <c r="S62" s="150">
        <f ca="1">IF(M62&gt;TODAY(),0,IF(N62&lt;TODAY(),R62,(TODAY()-M62+1)-COUNTIFS(INDIRECT(getCalendarRange(O62)),"&gt;=" &amp; M62,INDIRECT(getCalendarRange(O62)),"&lt;=" &amp; TODAY())))</f>
        <v>8</v>
      </c>
      <c r="T62" s="126"/>
      <c r="U62" s="126"/>
      <c r="V62" s="151"/>
      <c r="W62" s="152" t="str">
        <f ca="1">IF(U62="","0",IF(T62="","0",(U62-T62+1)-COUNTIFS(INDIRECT(getCalendarRange(O62)),"&gt;=" &amp; T62,INDIRECT(getCalendarRange(O62)),"&lt;=" &amp; U62)))</f>
        <v>0</v>
      </c>
      <c r="X62" s="153">
        <v>1</v>
      </c>
      <c r="Y62" s="183" t="s">
        <v>1112</v>
      </c>
      <c r="Z62" s="154"/>
      <c r="AA62" s="155">
        <v>1</v>
      </c>
      <c r="AB62" s="156">
        <v>0</v>
      </c>
      <c r="AC62" s="209"/>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c r="DM62" s="208"/>
      <c r="DN62" s="208"/>
      <c r="DO62" s="208"/>
      <c r="DP62" s="208"/>
      <c r="DQ62" s="208"/>
      <c r="DR62" s="208"/>
      <c r="DS62" s="208" t="str">
        <f>K62 &amp; " " &amp; IF(M62="","",TEXT(M62,"M/D-")) &amp; IF(N62="","",TEXT(N62,"M/D")) &amp; " "</f>
        <v xml:space="preserve">장바구니 2/14-2/21 </v>
      </c>
      <c r="DT62" s="207" t="str">
        <f>TEXT(AB62,"#0.00%") &amp; " "</f>
        <v xml:space="preserve">0.00% </v>
      </c>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c r="FC62" s="208"/>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1124</v>
      </c>
      <c r="E63" s="148"/>
      <c r="F63" s="148"/>
      <c r="G63" s="148"/>
      <c r="H63" s="148"/>
      <c r="I63" s="148"/>
      <c r="J63" s="183"/>
      <c r="K63" s="183" t="s">
        <v>1110</v>
      </c>
      <c r="L63" s="148"/>
      <c r="M63" s="126">
        <v>43517</v>
      </c>
      <c r="N63" s="126">
        <v>43524</v>
      </c>
      <c r="O63" s="148"/>
      <c r="P63" s="149">
        <v>8</v>
      </c>
      <c r="Q63" s="149">
        <v>8</v>
      </c>
      <c r="R63" s="150">
        <f ca="1">IF(M63="","0",(N63-M63+1)-COUNTIFS(INDIRECT(getCalendarRange(O63)),"&gt;=" &amp; M63,INDIRECT(getCalendarRange(O63)),"&lt;=" &amp; N63))</f>
        <v>8</v>
      </c>
      <c r="S63" s="150">
        <f ca="1">IF(M63&gt;TODAY(),0,IF(N63&lt;TODAY(),R63,(TODAY()-M63+1)-COUNTIFS(INDIRECT(getCalendarRange(O63)),"&gt;=" &amp; M63,INDIRECT(getCalendarRange(O63)),"&lt;=" &amp; TODAY())))</f>
        <v>8</v>
      </c>
      <c r="T63" s="126"/>
      <c r="U63" s="126"/>
      <c r="V63" s="151"/>
      <c r="W63" s="152" t="str">
        <f ca="1">IF(U63="","0",IF(T63="","0",(U63-T63+1)-COUNTIFS(INDIRECT(getCalendarRange(O63)),"&gt;=" &amp; T63,INDIRECT(getCalendarRange(O63)),"&lt;=" &amp; U63)))</f>
        <v>0</v>
      </c>
      <c r="X63" s="153">
        <v>1</v>
      </c>
      <c r="Y63" s="183" t="s">
        <v>1112</v>
      </c>
      <c r="Z63" s="154"/>
      <c r="AA63" s="155">
        <v>1</v>
      </c>
      <c r="AB63" s="156">
        <v>0</v>
      </c>
      <c r="AC63" s="209"/>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c r="DT63" s="208"/>
      <c r="DU63" s="208"/>
      <c r="DV63" s="208"/>
      <c r="DW63" s="208"/>
      <c r="DX63" s="208"/>
      <c r="DY63" s="208"/>
      <c r="DZ63" s="208" t="str">
        <f>K63 &amp; " " &amp; IF(M63="","",TEXT(M63,"M/D-")) &amp; IF(N63="","",TEXT(N63,"M/D")) &amp; " "</f>
        <v xml:space="preserve">커뮤니티 2/21-2/28 </v>
      </c>
      <c r="EA63" s="207" t="str">
        <f>TEXT(AB63,"#0.00%") &amp; " "</f>
        <v xml:space="preserve">0.00% </v>
      </c>
      <c r="EB63" s="208"/>
      <c r="EC63" s="208"/>
      <c r="ED63" s="208"/>
      <c r="EE63" s="208"/>
      <c r="EF63" s="208"/>
      <c r="EG63" s="208"/>
      <c r="EH63" s="208"/>
      <c r="EI63" s="208"/>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1125</v>
      </c>
      <c r="E64" s="148"/>
      <c r="F64" s="148"/>
      <c r="G64" s="148"/>
      <c r="H64" s="148"/>
      <c r="I64" s="148"/>
      <c r="J64" s="183"/>
      <c r="K64" s="183" t="s">
        <v>1118</v>
      </c>
      <c r="L64" s="148"/>
      <c r="M64" s="126">
        <v>43524</v>
      </c>
      <c r="N64" s="126">
        <v>43538</v>
      </c>
      <c r="O64" s="148"/>
      <c r="P64" s="149">
        <v>15</v>
      </c>
      <c r="Q64" s="149">
        <v>13</v>
      </c>
      <c r="R64" s="150">
        <f ca="1">IF(M64="","0",(N64-M64+1)-COUNTIFS(INDIRECT(getCalendarRange(O64)),"&gt;=" &amp; M64,INDIRECT(getCalendarRange(O64)),"&lt;=" &amp; N64))</f>
        <v>15</v>
      </c>
      <c r="S64" s="150">
        <f ca="1">IF(M64&gt;TODAY(),0,IF(N64&lt;TODAY(),R64,(TODAY()-M64+1)-COUNTIFS(INDIRECT(getCalendarRange(O64)),"&gt;=" &amp; M64,INDIRECT(getCalendarRange(O64)),"&lt;=" &amp; TODAY())))</f>
        <v>13</v>
      </c>
      <c r="T64" s="126"/>
      <c r="U64" s="126"/>
      <c r="V64" s="151"/>
      <c r="W64" s="152" t="str">
        <f ca="1">IF(U64="","0",IF(T64="","0",(U64-T64+1)-COUNTIFS(INDIRECT(getCalendarRange(O64)),"&gt;=" &amp; T64,INDIRECT(getCalendarRange(O64)),"&lt;=" &amp; U64)))</f>
        <v>0</v>
      </c>
      <c r="X64" s="153">
        <v>1</v>
      </c>
      <c r="Y64" s="183" t="s">
        <v>1112</v>
      </c>
      <c r="Z64" s="154"/>
      <c r="AA64" s="155">
        <v>0.8666666666666667</v>
      </c>
      <c r="AB64" s="156">
        <v>0</v>
      </c>
      <c r="AC64" s="209"/>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8"/>
      <c r="DV64" s="208"/>
      <c r="DW64" s="208"/>
      <c r="DX64" s="208"/>
      <c r="DY64" s="208"/>
      <c r="DZ64" s="208"/>
      <c r="EA64" s="208"/>
      <c r="EB64" s="208"/>
      <c r="EC64" s="208"/>
      <c r="ED64" s="208"/>
      <c r="EE64" s="208"/>
      <c r="EF64" s="208"/>
      <c r="EG64" s="208" t="str">
        <f>K64 &amp; " " &amp; IF(M64="","",TEXT(M64,"M/D-")) &amp; IF(N64="","",TEXT(N64,"M/D")) &amp; " "</f>
        <v xml:space="preserve">검색 2/28-3/14 </v>
      </c>
      <c r="EH64" s="207" t="str">
        <f>TEXT(AB64,"#0.00%") &amp; " "</f>
        <v xml:space="preserve">0.00% </v>
      </c>
      <c r="EI64" s="208"/>
      <c r="EJ64" s="208"/>
      <c r="EK64" s="208"/>
      <c r="EL64" s="208"/>
      <c r="EM64" s="208"/>
      <c r="EN64" s="208"/>
      <c r="EO64" s="208"/>
      <c r="EP64" s="208"/>
      <c r="EQ64" s="208"/>
      <c r="ER64" s="208"/>
      <c r="ES64" s="208"/>
      <c r="ET64" s="208"/>
      <c r="EU64" s="208"/>
      <c r="EV64" s="208"/>
      <c r="EW64" s="208"/>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1126</v>
      </c>
      <c r="E65" s="148"/>
      <c r="F65" s="148"/>
      <c r="G65" s="148"/>
      <c r="H65" s="148"/>
      <c r="I65" s="148"/>
      <c r="J65" s="184"/>
      <c r="K65" s="183" t="s">
        <v>1111</v>
      </c>
      <c r="L65" s="148"/>
      <c r="M65" s="126">
        <v>43538</v>
      </c>
      <c r="N65" s="126">
        <v>43554</v>
      </c>
      <c r="O65" s="148"/>
      <c r="P65" s="149">
        <v>17</v>
      </c>
      <c r="Q65" s="149">
        <v>0</v>
      </c>
      <c r="R65" s="150">
        <f ca="1">IF(M65="","0",(N65-M65+1)-COUNTIFS(INDIRECT(getCalendarRange(O65)),"&gt;=" &amp; M65,INDIRECT(getCalendarRange(O65)),"&lt;=" &amp; N65))</f>
        <v>17</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v>
      </c>
      <c r="AB65" s="156">
        <v>0</v>
      </c>
      <c r="AC65" s="209"/>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c r="EH65" s="208"/>
      <c r="EI65" s="208"/>
      <c r="EJ65" s="208"/>
      <c r="EK65" s="208"/>
      <c r="EL65" s="208"/>
      <c r="EM65" s="208"/>
      <c r="EN65" s="208"/>
      <c r="EO65" s="208"/>
      <c r="EP65" s="208"/>
      <c r="EQ65" s="208"/>
      <c r="ER65" s="208"/>
      <c r="ES65" s="208"/>
      <c r="ET65" s="208"/>
      <c r="EU65" s="208" t="str">
        <f>K65 &amp; " " &amp; IF(M65="","",TEXT(M65,"M/D-")) &amp; IF(N65="","",TEXT(N65,"M/D")) &amp; " "</f>
        <v xml:space="preserve">마이페이지 3/14-3/30 </v>
      </c>
      <c r="EV65" s="207" t="str">
        <f>TEXT(AB65,"#0.00%") &amp; " "</f>
        <v xml:space="preserve">0.00% </v>
      </c>
      <c r="EW65" s="208"/>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1147</v>
      </c>
      <c r="E66" s="148"/>
      <c r="F66" s="148"/>
      <c r="G66" s="148"/>
      <c r="H66" s="148"/>
      <c r="I66" s="148"/>
      <c r="J66" s="183"/>
      <c r="K66" s="183" t="s">
        <v>1148</v>
      </c>
      <c r="L66" s="184"/>
      <c r="M66" s="126">
        <v>43554</v>
      </c>
      <c r="N66" s="126">
        <v>43573</v>
      </c>
      <c r="O66" s="148"/>
      <c r="P66" s="149">
        <v>20</v>
      </c>
      <c r="Q66" s="149">
        <v>0</v>
      </c>
      <c r="R66" s="150">
        <f ca="1">IF(M66="","0",(N66-M66+1)-COUNTIFS(INDIRECT(getCalendarRange(O66)),"&gt;=" &amp; M66,INDIRECT(getCalendarRange(O66)),"&lt;=" &amp; N66))</f>
        <v>20</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1093</v>
      </c>
      <c r="Z66" s="154"/>
      <c r="AA66" s="155">
        <v>0</v>
      </c>
      <c r="AB66" s="156">
        <v>0</v>
      </c>
      <c r="AC66" s="209"/>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c r="EV66" s="208"/>
      <c r="EW66" s="208"/>
      <c r="EX66" s="208"/>
      <c r="EY66" s="208"/>
      <c r="EZ66" s="208"/>
      <c r="FA66" s="208"/>
      <c r="FB66" s="208"/>
      <c r="FC66" s="208"/>
      <c r="FD66" s="208"/>
      <c r="FE66" s="208"/>
      <c r="FF66" s="208"/>
      <c r="FG66" s="208"/>
      <c r="FH66" s="208"/>
      <c r="FI66" s="208"/>
      <c r="FJ66" s="208"/>
      <c r="FK66" s="208" t="str">
        <f>K66 &amp; " " &amp; IF(M66="","",TEXT(M66,"M/D-")) &amp; IF(N66="","",TEXT(N66,"M/D")) &amp; " "</f>
        <v xml:space="preserve">디자인 수정 3/30-4/18 </v>
      </c>
      <c r="FL66" s="207" t="str">
        <f>TEXT(AB66,"#0.00%") &amp; " "</f>
        <v xml:space="preserve">0.00% </v>
      </c>
      <c r="FM66" s="208"/>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t="s">
        <v>996</v>
      </c>
      <c r="C67" s="147">
        <v>5</v>
      </c>
      <c r="D67" s="157" t="s">
        <v>980</v>
      </c>
      <c r="E67" s="148"/>
      <c r="F67" s="148"/>
      <c r="G67" s="148"/>
      <c r="H67" s="148"/>
      <c r="I67" s="184" t="s">
        <v>1139</v>
      </c>
      <c r="J67" s="148"/>
      <c r="K67" s="148"/>
      <c r="L67" s="148"/>
      <c r="M67" s="126">
        <v>43497</v>
      </c>
      <c r="N67" s="126">
        <v>43579</v>
      </c>
      <c r="O67" s="148"/>
      <c r="P67" s="149">
        <v>90</v>
      </c>
      <c r="Q67" s="149">
        <v>46</v>
      </c>
      <c r="R67" s="150">
        <f ca="1">IF(M67="","0",(N67-M67+1)-COUNTIFS(INDIRECT(getCalendarRange(O67)),"&gt;=" &amp; M67,INDIRECT(getCalendarRange(O67)),"&lt;=" &amp; N67))</f>
        <v>83</v>
      </c>
      <c r="S67" s="150">
        <f ca="1">IF(M67&gt;TODAY(),0,IF(N67&lt;TODAY(),R67,(TODAY()-M67+1)-COUNTIFS(INDIRECT(getCalendarRange(O67)),"&gt;=" &amp; M67,INDIRECT(getCalendarRange(O67)),"&lt;=" &amp; TODAY())))</f>
        <v>40</v>
      </c>
      <c r="T67" s="126"/>
      <c r="U67" s="126"/>
      <c r="V67" s="151">
        <v>0</v>
      </c>
      <c r="W67" s="152" t="str">
        <f ca="1">IF(U67="","0",IF(T67="","0",(U67-T67+1)-COUNTIFS(INDIRECT(getCalendarRange(O67)),"&gt;=" &amp; T67,INDIRECT(getCalendarRange(O67)),"&lt;=" &amp; U67)))</f>
        <v>0</v>
      </c>
      <c r="X67" s="153"/>
      <c r="Y67" s="184" t="s">
        <v>1107</v>
      </c>
      <c r="Z67" s="154"/>
      <c r="AA67" s="155">
        <v>0.51111111111111107</v>
      </c>
      <c r="AB67" s="156">
        <v>0</v>
      </c>
      <c r="AC67" s="209"/>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t="str">
        <f>I67 &amp; " " &amp; IF(M67="","",TEXT(M67,"M/D-")) &amp; IF(N67="","",TEXT(N67,"M/D")) &amp; " "</f>
        <v xml:space="preserve">어플리케이션 개발 2/1-4/24 </v>
      </c>
      <c r="DG67" s="207" t="str">
        <f>TEXT(AB67,"#0.00%") &amp; " "</f>
        <v xml:space="preserve">0.00% </v>
      </c>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8"/>
      <c r="EZ67" s="208"/>
      <c r="FA67" s="208"/>
      <c r="FB67" s="208"/>
      <c r="FC67" s="208"/>
      <c r="FD67" s="208"/>
      <c r="FE67" s="208"/>
      <c r="FF67" s="208"/>
      <c r="FG67" s="208"/>
      <c r="FH67" s="208"/>
      <c r="FI67" s="208"/>
      <c r="FJ67" s="208"/>
      <c r="FK67" s="208"/>
      <c r="FL67" s="208"/>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c r="C68" s="147">
        <v>6</v>
      </c>
      <c r="D68" s="157" t="s">
        <v>1134</v>
      </c>
      <c r="E68" s="148"/>
      <c r="F68" s="148"/>
      <c r="G68" s="148"/>
      <c r="H68" s="148"/>
      <c r="I68" s="184"/>
      <c r="J68" s="184" t="s">
        <v>1144</v>
      </c>
      <c r="K68" s="148"/>
      <c r="L68" s="148"/>
      <c r="M68" s="126">
        <v>43529</v>
      </c>
      <c r="N68" s="126">
        <v>43539</v>
      </c>
      <c r="O68" s="148"/>
      <c r="P68" s="149">
        <v>11</v>
      </c>
      <c r="Q68" s="149">
        <v>8</v>
      </c>
      <c r="R68" s="150">
        <f ca="1">IF(M68="","0",(N68-M68+1)-COUNTIFS(INDIRECT(getCalendarRange(O68)),"&gt;=" &amp; M68,INDIRECT(getCalendarRange(O68)),"&lt;=" &amp; N68))</f>
        <v>11</v>
      </c>
      <c r="S68" s="150">
        <f ca="1">IF(M68&gt;TODAY(),0,IF(N68&lt;TODAY(),R68,(TODAY()-M68+1)-COUNTIFS(INDIRECT(getCalendarRange(O68)),"&gt;=" &amp; M68,INDIRECT(getCalendarRange(O68)),"&lt;=" &amp; TODAY())))</f>
        <v>8</v>
      </c>
      <c r="T68" s="126"/>
      <c r="U68" s="126"/>
      <c r="V68" s="151"/>
      <c r="W68" s="152" t="str">
        <f ca="1">IF(U68="","0",IF(T68="","0",(U68-T68+1)-COUNTIFS(INDIRECT(getCalendarRange(O68)),"&gt;=" &amp; T68,INDIRECT(getCalendarRange(O68)),"&lt;=" &amp; U68)))</f>
        <v>0</v>
      </c>
      <c r="X68" s="153">
        <v>1</v>
      </c>
      <c r="Y68" s="184" t="s">
        <v>1107</v>
      </c>
      <c r="Z68" s="154"/>
      <c r="AA68" s="155">
        <v>0.72727272727272729</v>
      </c>
      <c r="AB68" s="156">
        <v>0</v>
      </c>
      <c r="AC68" s="209"/>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c r="DG68" s="208"/>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t="str">
        <f>J68 &amp; " " &amp; IF(M68="","",TEXT(M68,"M/D-")) &amp; IF(N68="","",TEXT(N68,"M/D")) &amp; " "</f>
        <v xml:space="preserve">디퓨저 연동 페이지 3/5-3/15 </v>
      </c>
      <c r="EM68" s="207" t="str">
        <f>TEXT(AB68,"#0.00%") &amp; " "</f>
        <v xml:space="preserve">0.00% </v>
      </c>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c r="FL68" s="208"/>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c r="C69" s="147">
        <v>6</v>
      </c>
      <c r="D69" s="157" t="s">
        <v>1135</v>
      </c>
      <c r="E69" s="148"/>
      <c r="F69" s="148"/>
      <c r="G69" s="148"/>
      <c r="H69" s="148"/>
      <c r="I69" s="148"/>
      <c r="J69" s="183" t="s">
        <v>1114</v>
      </c>
      <c r="K69" s="148"/>
      <c r="L69" s="148"/>
      <c r="M69" s="126">
        <v>43529</v>
      </c>
      <c r="N69" s="126">
        <v>43544</v>
      </c>
      <c r="O69" s="148"/>
      <c r="P69" s="149">
        <v>16</v>
      </c>
      <c r="Q69" s="149">
        <v>8</v>
      </c>
      <c r="R69" s="150">
        <f ca="1">IF(M69="","0",(N69-M69+1)-COUNTIFS(INDIRECT(getCalendarRange(O69)),"&gt;=" &amp; M69,INDIRECT(getCalendarRange(O69)),"&lt;=" &amp; N69))</f>
        <v>16</v>
      </c>
      <c r="S69" s="150">
        <f ca="1">IF(M69&gt;TODAY(),0,IF(N69&lt;TODAY(),R69,(TODAY()-M69+1)-COUNTIFS(INDIRECT(getCalendarRange(O69)),"&gt;=" &amp; M69,INDIRECT(getCalendarRange(O69)),"&lt;=" &amp; TODAY())))</f>
        <v>8</v>
      </c>
      <c r="T69" s="126"/>
      <c r="U69" s="126"/>
      <c r="V69" s="151"/>
      <c r="W69" s="152" t="str">
        <f ca="1">IF(U69="","0",IF(T69="","0",(U69-T69+1)-COUNTIFS(INDIRECT(getCalendarRange(O69)),"&gt;=" &amp; T69,INDIRECT(getCalendarRange(O69)),"&lt;=" &amp; U69)))</f>
        <v>0</v>
      </c>
      <c r="X69" s="153">
        <v>1</v>
      </c>
      <c r="Y69" s="184" t="s">
        <v>1107</v>
      </c>
      <c r="Z69" s="154"/>
      <c r="AA69" s="155">
        <v>0.5</v>
      </c>
      <c r="AB69" s="156">
        <v>0</v>
      </c>
      <c r="AC69" s="209"/>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8"/>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t="str">
        <f>J69 &amp; " " &amp; IF(M69="","",TEXT(M69,"M/D-")) &amp; IF(N69="","",TEXT(N69,"M/D")) &amp; " "</f>
        <v xml:space="preserve">디퓨저 설정 3/5-3/20 </v>
      </c>
      <c r="EM69" s="207" t="str">
        <f>TEXT(AB69,"#0.00%") &amp; " "</f>
        <v xml:space="preserve">0.00% </v>
      </c>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1136</v>
      </c>
      <c r="E70" s="148"/>
      <c r="F70" s="148"/>
      <c r="G70" s="148"/>
      <c r="H70" s="148"/>
      <c r="I70" s="184"/>
      <c r="J70" s="184" t="s">
        <v>1140</v>
      </c>
      <c r="K70" s="148"/>
      <c r="L70" s="148"/>
      <c r="M70" s="126">
        <v>43497</v>
      </c>
      <c r="N70" s="126">
        <v>43506</v>
      </c>
      <c r="O70" s="148"/>
      <c r="P70" s="149">
        <v>10</v>
      </c>
      <c r="Q70" s="149">
        <v>10</v>
      </c>
      <c r="R70" s="150">
        <f ca="1">IF(M70="","0",(N70-M70+1)-COUNTIFS(INDIRECT(getCalendarRange(O70)),"&gt;=" &amp; M70,INDIRECT(getCalendarRange(O70)),"&lt;=" &amp; N70))</f>
        <v>10</v>
      </c>
      <c r="S70" s="150">
        <f ca="1">IF(M70&gt;TODAY(),0,IF(N70&lt;TODAY(),R70,(TODAY()-M70+1)-COUNTIFS(INDIRECT(getCalendarRange(O70)),"&gt;=" &amp; M70,INDIRECT(getCalendarRange(O70)),"&lt;=" &amp; TODAY())))</f>
        <v>10</v>
      </c>
      <c r="T70" s="126"/>
      <c r="U70" s="126"/>
      <c r="V70" s="151"/>
      <c r="W70" s="152" t="str">
        <f ca="1">IF(U70="","0",IF(T70="","0",(U70-T70+1)-COUNTIFS(INDIRECT(getCalendarRange(O70)),"&gt;=" &amp; T70,INDIRECT(getCalendarRange(O70)),"&lt;=" &amp; U70)))</f>
        <v>0</v>
      </c>
      <c r="X70" s="153">
        <v>1</v>
      </c>
      <c r="Y70" s="184" t="s">
        <v>1107</v>
      </c>
      <c r="Z70" s="154"/>
      <c r="AA70" s="155">
        <v>1</v>
      </c>
      <c r="AB70" s="156">
        <v>0</v>
      </c>
      <c r="AC70" s="209"/>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t="str">
        <f>J70 &amp; " " &amp; IF(M70="","",TEXT(M70,"M/D-")) &amp; IF(N70="","",TEXT(N70,"M/D")) &amp; " "</f>
        <v xml:space="preserve">디퓨저 정보 제공 2/1-2/10 </v>
      </c>
      <c r="DG70" s="207" t="str">
        <f>TEXT(AB70,"#0.00%") &amp; " "</f>
        <v xml:space="preserve">0.00% </v>
      </c>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c r="EM70" s="208"/>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1137</v>
      </c>
      <c r="E71" s="148"/>
      <c r="F71" s="148"/>
      <c r="G71" s="148"/>
      <c r="H71" s="148"/>
      <c r="I71" s="184"/>
      <c r="J71" s="184" t="s">
        <v>1170</v>
      </c>
      <c r="K71" s="148"/>
      <c r="L71" s="148"/>
      <c r="M71" s="126">
        <v>43506</v>
      </c>
      <c r="N71" s="126">
        <v>43516</v>
      </c>
      <c r="O71" s="148"/>
      <c r="P71" s="149">
        <v>11</v>
      </c>
      <c r="Q71" s="149">
        <v>11</v>
      </c>
      <c r="R71" s="150">
        <f ca="1">IF(M71="","0",(N71-M71+1)-COUNTIFS(INDIRECT(getCalendarRange(O71)),"&gt;=" &amp; M71,INDIRECT(getCalendarRange(O71)),"&lt;=" &amp; N71))</f>
        <v>11</v>
      </c>
      <c r="S71" s="150">
        <f ca="1">IF(M71&gt;TODAY(),0,IF(N71&lt;TODAY(),R71,(TODAY()-M71+1)-COUNTIFS(INDIRECT(getCalendarRange(O71)),"&gt;=" &amp; M71,INDIRECT(getCalendarRange(O71)),"&lt;=" &amp; TODAY())))</f>
        <v>11</v>
      </c>
      <c r="T71" s="126"/>
      <c r="U71" s="126"/>
      <c r="V71" s="151"/>
      <c r="W71" s="152" t="str">
        <f ca="1">IF(U71="","0",IF(T71="","0",(U71-T71+1)-COUNTIFS(INDIRECT(getCalendarRange(O71)),"&gt;=" &amp; T71,INDIRECT(getCalendarRange(O71)),"&lt;=" &amp; U71)))</f>
        <v>0</v>
      </c>
      <c r="X71" s="153">
        <v>1</v>
      </c>
      <c r="Y71" s="184" t="s">
        <v>1107</v>
      </c>
      <c r="Z71" s="154"/>
      <c r="AA71" s="155">
        <v>1</v>
      </c>
      <c r="AB71" s="156">
        <v>0</v>
      </c>
      <c r="AC71" s="209"/>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c r="DG71" s="208"/>
      <c r="DH71" s="208"/>
      <c r="DI71" s="208"/>
      <c r="DJ71" s="208"/>
      <c r="DK71" s="208"/>
      <c r="DL71" s="208"/>
      <c r="DM71" s="208"/>
      <c r="DN71" s="208"/>
      <c r="DO71" s="208" t="str">
        <f>J71 &amp; " " &amp; IF(M71="","",TEXT(M71,"M/D-")) &amp; IF(N71="","",TEXT(N71,"M/D")) &amp; " "</f>
        <v xml:space="preserve">리모컨 기능 2/10-2/20 </v>
      </c>
      <c r="DP71" s="207" t="str">
        <f>TEXT(AB71,"#0.00%") &amp; " "</f>
        <v xml:space="preserve">0.00% </v>
      </c>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c r="EM71" s="208"/>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1138</v>
      </c>
      <c r="E72" s="148"/>
      <c r="F72" s="148"/>
      <c r="G72" s="148"/>
      <c r="H72" s="148"/>
      <c r="I72" s="184"/>
      <c r="J72" s="184" t="s">
        <v>1171</v>
      </c>
      <c r="K72" s="148"/>
      <c r="L72" s="148"/>
      <c r="M72" s="126">
        <v>43516</v>
      </c>
      <c r="N72" s="126">
        <v>43524</v>
      </c>
      <c r="O72" s="148"/>
      <c r="P72" s="149">
        <v>9</v>
      </c>
      <c r="Q72" s="149">
        <v>9</v>
      </c>
      <c r="R72" s="150">
        <f ca="1">IF(M72="","0",(N72-M72+1)-COUNTIFS(INDIRECT(getCalendarRange(O72)),"&gt;=" &amp; M72,INDIRECT(getCalendarRange(O72)),"&lt;=" &amp; N72))</f>
        <v>9</v>
      </c>
      <c r="S72" s="150">
        <f ca="1">IF(M72&gt;TODAY(),0,IF(N72&lt;TODAY(),R72,(TODAY()-M72+1)-COUNTIFS(INDIRECT(getCalendarRange(O72)),"&gt;=" &amp; M72,INDIRECT(getCalendarRange(O72)),"&lt;=" &amp; TODAY())))</f>
        <v>9</v>
      </c>
      <c r="T72" s="126"/>
      <c r="U72" s="126"/>
      <c r="V72" s="151"/>
      <c r="W72" s="152" t="str">
        <f ca="1">IF(U72="","0",IF(T72="","0",(U72-T72+1)-COUNTIFS(INDIRECT(getCalendarRange(O72)),"&gt;=" &amp; T72,INDIRECT(getCalendarRange(O72)),"&lt;=" &amp; U72)))</f>
        <v>0</v>
      </c>
      <c r="X72" s="153">
        <v>1</v>
      </c>
      <c r="Y72" s="184" t="s">
        <v>1107</v>
      </c>
      <c r="Z72" s="154"/>
      <c r="AA72" s="155">
        <v>1</v>
      </c>
      <c r="AB72" s="156">
        <v>0</v>
      </c>
      <c r="AC72" s="209"/>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c r="DP72" s="208"/>
      <c r="DQ72" s="208"/>
      <c r="DR72" s="208"/>
      <c r="DS72" s="208"/>
      <c r="DT72" s="208"/>
      <c r="DU72" s="208"/>
      <c r="DV72" s="208"/>
      <c r="DW72" s="208"/>
      <c r="DX72" s="208"/>
      <c r="DY72" s="208" t="str">
        <f>J72 &amp; " " &amp; IF(M72="","",TEXT(M72,"M/D-")) &amp; IF(N72="","",TEXT(N72,"M/D")) &amp; " "</f>
        <v xml:space="preserve">디퓨저 알람 2/20-2/28 </v>
      </c>
      <c r="DZ72" s="207" t="str">
        <f>TEXT(AB72,"#0.00%") &amp; " "</f>
        <v xml:space="preserve">0.00% </v>
      </c>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1143</v>
      </c>
      <c r="E73" s="148"/>
      <c r="F73" s="148"/>
      <c r="G73" s="148"/>
      <c r="H73" s="148"/>
      <c r="I73" s="184"/>
      <c r="J73" s="184" t="s">
        <v>1086</v>
      </c>
      <c r="K73" s="148"/>
      <c r="L73" s="148"/>
      <c r="M73" s="126">
        <v>43548</v>
      </c>
      <c r="N73" s="126">
        <v>43559</v>
      </c>
      <c r="O73" s="148"/>
      <c r="P73" s="149">
        <v>12</v>
      </c>
      <c r="Q73" s="149">
        <v>0</v>
      </c>
      <c r="R73" s="150">
        <f ca="1">IF(M73="","0",(N73-M73+1)-COUNTIFS(INDIRECT(getCalendarRange(O73)),"&gt;=" &amp; M73,INDIRECT(getCalendarRange(O73)),"&lt;=" &amp; N73))</f>
        <v>12</v>
      </c>
      <c r="S73" s="150">
        <f ca="1">IF(M73&gt;TODAY(),0,IF(N73&lt;TODAY(),R73,(TODAY()-M73+1)-COUNTIFS(INDIRECT(getCalendarRange(O73)),"&gt;=" &amp; M73,INDIRECT(getCalendarRange(O73)),"&lt;=" &amp; TODAY())))</f>
        <v>0</v>
      </c>
      <c r="T73" s="126"/>
      <c r="U73" s="126"/>
      <c r="V73" s="151"/>
      <c r="W73" s="152" t="str">
        <f ca="1">IF(U73="","0",IF(T73="","0",(U73-T73+1)-COUNTIFS(INDIRECT(getCalendarRange(O73)),"&gt;=" &amp; T73,INDIRECT(getCalendarRange(O73)),"&lt;=" &amp; U73)))</f>
        <v>0</v>
      </c>
      <c r="X73" s="153">
        <v>1</v>
      </c>
      <c r="Y73" s="184" t="s">
        <v>1107</v>
      </c>
      <c r="Z73" s="154"/>
      <c r="AA73" s="155">
        <v>0</v>
      </c>
      <c r="AB73" s="156">
        <v>0</v>
      </c>
      <c r="AC73" s="209"/>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c r="DZ73" s="208"/>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t="str">
        <f>J73 &amp; " " &amp; IF(M73="","",TEXT(M73,"M/D-")) &amp; IF(N73="","",TEXT(N73,"M/D")) &amp; " "</f>
        <v xml:space="preserve">chatbot 3/24-4/4 </v>
      </c>
      <c r="FF73" s="207" t="str">
        <f>TEXT(AB73,"#0.00%") &amp; " "</f>
        <v xml:space="preserve">0.00% </v>
      </c>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1160</v>
      </c>
      <c r="E74" s="148"/>
      <c r="F74" s="148"/>
      <c r="G74" s="148"/>
      <c r="H74" s="148"/>
      <c r="I74" s="184"/>
      <c r="J74" s="184" t="s">
        <v>1159</v>
      </c>
      <c r="K74" s="148"/>
      <c r="L74" s="148"/>
      <c r="M74" s="126">
        <v>43559</v>
      </c>
      <c r="N74" s="126">
        <v>43579</v>
      </c>
      <c r="O74" s="148"/>
      <c r="P74" s="149">
        <v>21</v>
      </c>
      <c r="Q74" s="149">
        <v>0</v>
      </c>
      <c r="R74" s="150">
        <f ca="1">IF(M74="","0",(N74-M74+1)-COUNTIFS(INDIRECT(getCalendarRange(O74)),"&gt;=" &amp; M74,INDIRECT(getCalendarRange(O74)),"&lt;=" &amp; N74))</f>
        <v>21</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1107</v>
      </c>
      <c r="Z74" s="154"/>
      <c r="AA74" s="155">
        <v>0</v>
      </c>
      <c r="AB74" s="156">
        <v>0</v>
      </c>
      <c r="AC74" s="209"/>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c r="FF74" s="208"/>
      <c r="FG74" s="208"/>
      <c r="FH74" s="208"/>
      <c r="FI74" s="208"/>
      <c r="FJ74" s="208"/>
      <c r="FK74" s="208"/>
      <c r="FL74" s="208"/>
      <c r="FM74" s="208"/>
      <c r="FN74" s="208"/>
      <c r="FO74" s="208"/>
      <c r="FP74" s="208" t="str">
        <f>J74 &amp; " " &amp; IF(M74="","",TEXT(M74,"M/D-")) &amp; IF(N74="","",TEXT(N74,"M/D")) &amp; " "</f>
        <v xml:space="preserve">수정 보완 4/4-4/24 </v>
      </c>
      <c r="FQ74" s="207" t="str">
        <f>TEXT(AB74,"#0.00%") &amp; " "</f>
        <v xml:space="preserve">0.00% </v>
      </c>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t="s">
        <v>996</v>
      </c>
      <c r="C75" s="147">
        <v>5</v>
      </c>
      <c r="D75" s="157" t="s">
        <v>1176</v>
      </c>
      <c r="E75" s="148"/>
      <c r="F75" s="148"/>
      <c r="G75" s="148"/>
      <c r="H75" s="148"/>
      <c r="I75" s="183" t="s">
        <v>1174</v>
      </c>
      <c r="J75" s="148"/>
      <c r="K75" s="148"/>
      <c r="L75" s="148"/>
      <c r="M75" s="126">
        <v>43497</v>
      </c>
      <c r="N75" s="126">
        <v>43579</v>
      </c>
      <c r="O75" s="148"/>
      <c r="P75" s="149">
        <v>90</v>
      </c>
      <c r="Q75" s="149">
        <v>46</v>
      </c>
      <c r="R75" s="150">
        <f ca="1">IF(M75="","0",(N75-M75+1)-COUNTIFS(INDIRECT(getCalendarRange(O75)),"&gt;=" &amp; M75,INDIRECT(getCalendarRange(O75)),"&lt;=" &amp; N75))</f>
        <v>83</v>
      </c>
      <c r="S75" s="150">
        <f ca="1">IF(M75&gt;TODAY(),0,IF(N75&lt;TODAY(),R75,(TODAY()-M75+1)-COUNTIFS(INDIRECT(getCalendarRange(O75)),"&gt;=" &amp; M75,INDIRECT(getCalendarRange(O75)),"&lt;=" &amp; TODAY())))</f>
        <v>40</v>
      </c>
      <c r="T75" s="126"/>
      <c r="U75" s="126"/>
      <c r="V75" s="151">
        <v>0</v>
      </c>
      <c r="W75" s="152" t="str">
        <f ca="1">IF(U75="","0",IF(T75="","0",(U75-T75+1)-COUNTIFS(INDIRECT(getCalendarRange(O75)),"&gt;=" &amp; T75,INDIRECT(getCalendarRange(O75)),"&lt;=" &amp; U75)))</f>
        <v>0</v>
      </c>
      <c r="X75" s="153"/>
      <c r="Y75" s="184" t="s">
        <v>1175</v>
      </c>
      <c r="Z75" s="154"/>
      <c r="AA75" s="155">
        <v>0.51111111111111107</v>
      </c>
      <c r="AB75" s="156">
        <v>0</v>
      </c>
      <c r="AC75" s="209"/>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t="str">
        <f>I75 &amp; " " &amp; IF(M75="","",TEXT(M75,"M/D-")) &amp; IF(N75="","",TEXT(N75,"M/D")) &amp; " "</f>
        <v xml:space="preserve">서버 환경 구축 2/1-4/24 </v>
      </c>
      <c r="DG75" s="207" t="str">
        <f>TEXT(AB75,"#0.00%") &amp; " "</f>
        <v xml:space="preserve">0.00% </v>
      </c>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c r="FF75" s="208"/>
      <c r="FG75" s="208"/>
      <c r="FH75" s="208"/>
      <c r="FI75" s="208"/>
      <c r="FJ75" s="208"/>
      <c r="FK75" s="208"/>
      <c r="FL75" s="208"/>
      <c r="FM75" s="208"/>
      <c r="FN75" s="208"/>
      <c r="FO75" s="208"/>
      <c r="FP75" s="208"/>
      <c r="FQ75" s="208"/>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c r="C76" s="147">
        <v>6</v>
      </c>
      <c r="D76" s="157" t="s">
        <v>1177</v>
      </c>
      <c r="E76" s="148"/>
      <c r="F76" s="148"/>
      <c r="G76" s="148"/>
      <c r="H76" s="148"/>
      <c r="I76" s="184"/>
      <c r="J76" s="184">
        <v>1</v>
      </c>
      <c r="K76" s="148"/>
      <c r="L76" s="148"/>
      <c r="M76" s="126">
        <v>43529</v>
      </c>
      <c r="N76" s="126">
        <v>43539</v>
      </c>
      <c r="O76" s="148"/>
      <c r="P76" s="149">
        <v>11</v>
      </c>
      <c r="Q76" s="149">
        <v>8</v>
      </c>
      <c r="R76" s="150">
        <f ca="1">IF(M76="","0",(N76-M76+1)-COUNTIFS(INDIRECT(getCalendarRange(O76)),"&gt;=" &amp; M76,INDIRECT(getCalendarRange(O76)),"&lt;=" &amp; N76))</f>
        <v>11</v>
      </c>
      <c r="S76" s="150">
        <f ca="1">IF(M76&gt;TODAY(),0,IF(N76&lt;TODAY(),R76,(TODAY()-M76+1)-COUNTIFS(INDIRECT(getCalendarRange(O76)),"&gt;=" &amp; M76,INDIRECT(getCalendarRange(O76)),"&lt;=" &amp; TODAY())))</f>
        <v>8</v>
      </c>
      <c r="T76" s="126"/>
      <c r="U76" s="126"/>
      <c r="V76" s="151"/>
      <c r="W76" s="152" t="str">
        <f ca="1">IF(U76="","0",IF(T76="","0",(U76-T76+1)-COUNTIFS(INDIRECT(getCalendarRange(O76)),"&gt;=" &amp; T76,INDIRECT(getCalendarRange(O76)),"&lt;=" &amp; U76)))</f>
        <v>0</v>
      </c>
      <c r="X76" s="153">
        <v>1</v>
      </c>
      <c r="Y76" s="183" t="s">
        <v>1084</v>
      </c>
      <c r="Z76" s="154"/>
      <c r="AA76" s="155">
        <v>0.72727272727272729</v>
      </c>
      <c r="AB76" s="156">
        <v>0</v>
      </c>
      <c r="AC76" s="209"/>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c r="DG76" s="208"/>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t="str">
        <f>J76 &amp; " " &amp; IF(M76="","",TEXT(M76,"M/D-")) &amp; IF(N76="","",TEXT(N76,"M/D")) &amp; " "</f>
        <v xml:space="preserve">1 3/5-3/15 </v>
      </c>
      <c r="EM76" s="207" t="str">
        <f>TEXT(AB76,"#0.00%") &amp; " "</f>
        <v xml:space="preserve">0.00% </v>
      </c>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c r="FQ76" s="208"/>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c r="C77" s="147">
        <v>6</v>
      </c>
      <c r="D77" s="157" t="s">
        <v>1178</v>
      </c>
      <c r="E77" s="148"/>
      <c r="F77" s="148"/>
      <c r="G77" s="148"/>
      <c r="H77" s="148"/>
      <c r="I77" s="148"/>
      <c r="J77" s="183">
        <v>2</v>
      </c>
      <c r="K77" s="148"/>
      <c r="L77" s="148"/>
      <c r="M77" s="126">
        <v>43529</v>
      </c>
      <c r="N77" s="126">
        <v>43544</v>
      </c>
      <c r="O77" s="148"/>
      <c r="P77" s="149">
        <v>16</v>
      </c>
      <c r="Q77" s="149">
        <v>8</v>
      </c>
      <c r="R77" s="150">
        <f ca="1">IF(M77="","0",(N77-M77+1)-COUNTIFS(INDIRECT(getCalendarRange(O77)),"&gt;=" &amp; M77,INDIRECT(getCalendarRange(O77)),"&lt;=" &amp; N77))</f>
        <v>16</v>
      </c>
      <c r="S77" s="150">
        <f ca="1">IF(M77&gt;TODAY(),0,IF(N77&lt;TODAY(),R77,(TODAY()-M77+1)-COUNTIFS(INDIRECT(getCalendarRange(O77)),"&gt;=" &amp; M77,INDIRECT(getCalendarRange(O77)),"&lt;=" &amp; TODAY())))</f>
        <v>8</v>
      </c>
      <c r="T77" s="126"/>
      <c r="U77" s="126"/>
      <c r="V77" s="151"/>
      <c r="W77" s="152" t="str">
        <f ca="1">IF(U77="","0",IF(T77="","0",(U77-T77+1)-COUNTIFS(INDIRECT(getCalendarRange(O77)),"&gt;=" &amp; T77,INDIRECT(getCalendarRange(O77)),"&lt;=" &amp; U77)))</f>
        <v>0</v>
      </c>
      <c r="X77" s="153">
        <v>1</v>
      </c>
      <c r="Y77" s="183" t="s">
        <v>1084</v>
      </c>
      <c r="Z77" s="154"/>
      <c r="AA77" s="155">
        <v>0.5</v>
      </c>
      <c r="AB77" s="156">
        <v>0</v>
      </c>
      <c r="AC77" s="209"/>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t="str">
        <f>J77 &amp; " " &amp; IF(M77="","",TEXT(M77,"M/D-")) &amp; IF(N77="","",TEXT(N77,"M/D")) &amp; " "</f>
        <v xml:space="preserve">2 3/5-3/20 </v>
      </c>
      <c r="EM77" s="207" t="str">
        <f>TEXT(AB77,"#0.00%") &amp; " "</f>
        <v xml:space="preserve">0.00% </v>
      </c>
      <c r="EN77" s="208"/>
      <c r="EO77" s="208"/>
      <c r="EP77" s="208"/>
      <c r="EQ77" s="208"/>
      <c r="ER77" s="208"/>
      <c r="ES77" s="208"/>
      <c r="ET77" s="208"/>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1179</v>
      </c>
      <c r="E78" s="148"/>
      <c r="F78" s="148"/>
      <c r="G78" s="148"/>
      <c r="H78" s="148"/>
      <c r="I78" s="184"/>
      <c r="J78" s="184">
        <v>3</v>
      </c>
      <c r="K78" s="148"/>
      <c r="L78" s="148"/>
      <c r="M78" s="126">
        <v>43497</v>
      </c>
      <c r="N78" s="126">
        <v>43506</v>
      </c>
      <c r="O78" s="148"/>
      <c r="P78" s="149">
        <v>10</v>
      </c>
      <c r="Q78" s="149">
        <v>10</v>
      </c>
      <c r="R78" s="150">
        <f ca="1">IF(M78="","0",(N78-M78+1)-COUNTIFS(INDIRECT(getCalendarRange(O78)),"&gt;=" &amp; M78,INDIRECT(getCalendarRange(O78)),"&lt;=" &amp; N78))</f>
        <v>10</v>
      </c>
      <c r="S78" s="150">
        <f ca="1">IF(M78&gt;TODAY(),0,IF(N78&lt;TODAY(),R78,(TODAY()-M78+1)-COUNTIFS(INDIRECT(getCalendarRange(O78)),"&gt;=" &amp; M78,INDIRECT(getCalendarRange(O78)),"&lt;=" &amp; TODAY())))</f>
        <v>10</v>
      </c>
      <c r="T78" s="126"/>
      <c r="U78" s="126"/>
      <c r="V78" s="151"/>
      <c r="W78" s="152" t="str">
        <f ca="1">IF(U78="","0",IF(T78="","0",(U78-T78+1)-COUNTIFS(INDIRECT(getCalendarRange(O78)),"&gt;=" &amp; T78,INDIRECT(getCalendarRange(O78)),"&lt;=" &amp; U78)))</f>
        <v>0</v>
      </c>
      <c r="X78" s="153">
        <v>1</v>
      </c>
      <c r="Y78" s="183" t="s">
        <v>1084</v>
      </c>
      <c r="Z78" s="154"/>
      <c r="AA78" s="155">
        <v>1</v>
      </c>
      <c r="AB78" s="156">
        <v>0</v>
      </c>
      <c r="AC78" s="209"/>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t="str">
        <f>J78 &amp; " " &amp; IF(M78="","",TEXT(M78,"M/D-")) &amp; IF(N78="","",TEXT(N78,"M/D")) &amp; " "</f>
        <v xml:space="preserve">3 2/1-2/10 </v>
      </c>
      <c r="DG78" s="207" t="str">
        <f>TEXT(AB78,"#0.00%") &amp; " "</f>
        <v xml:space="preserve">0.00% </v>
      </c>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c r="EM78" s="208"/>
      <c r="EN78" s="208"/>
      <c r="EO78" s="208"/>
      <c r="EP78" s="208"/>
      <c r="EQ78" s="208"/>
      <c r="ER78" s="208"/>
      <c r="ES78" s="208"/>
      <c r="ET78" s="208"/>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1180</v>
      </c>
      <c r="E79" s="148"/>
      <c r="F79" s="148"/>
      <c r="G79" s="148"/>
      <c r="H79" s="148"/>
      <c r="I79" s="184"/>
      <c r="J79" s="184">
        <v>4</v>
      </c>
      <c r="K79" s="148"/>
      <c r="L79" s="148"/>
      <c r="M79" s="126">
        <v>43506</v>
      </c>
      <c r="N79" s="126">
        <v>43516</v>
      </c>
      <c r="O79" s="148"/>
      <c r="P79" s="149">
        <v>11</v>
      </c>
      <c r="Q79" s="149">
        <v>11</v>
      </c>
      <c r="R79" s="150">
        <f ca="1">IF(M79="","0",(N79-M79+1)-COUNTIFS(INDIRECT(getCalendarRange(O79)),"&gt;=" &amp; M79,INDIRECT(getCalendarRange(O79)),"&lt;=" &amp; N79))</f>
        <v>11</v>
      </c>
      <c r="S79" s="150">
        <f ca="1">IF(M79&gt;TODAY(),0,IF(N79&lt;TODAY(),R79,(TODAY()-M79+1)-COUNTIFS(INDIRECT(getCalendarRange(O79)),"&gt;=" &amp; M79,INDIRECT(getCalendarRange(O79)),"&lt;=" &amp; TODAY())))</f>
        <v>11</v>
      </c>
      <c r="T79" s="126"/>
      <c r="U79" s="126"/>
      <c r="V79" s="151"/>
      <c r="W79" s="152" t="str">
        <f ca="1">IF(U79="","0",IF(T79="","0",(U79-T79+1)-COUNTIFS(INDIRECT(getCalendarRange(O79)),"&gt;=" &amp; T79,INDIRECT(getCalendarRange(O79)),"&lt;=" &amp; U79)))</f>
        <v>0</v>
      </c>
      <c r="X79" s="153">
        <v>1</v>
      </c>
      <c r="Y79" s="183" t="s">
        <v>1084</v>
      </c>
      <c r="Z79" s="154"/>
      <c r="AA79" s="155">
        <v>1</v>
      </c>
      <c r="AB79" s="156">
        <v>0</v>
      </c>
      <c r="AC79" s="209"/>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c r="DG79" s="208"/>
      <c r="DH79" s="208"/>
      <c r="DI79" s="208"/>
      <c r="DJ79" s="208"/>
      <c r="DK79" s="208"/>
      <c r="DL79" s="208"/>
      <c r="DM79" s="208"/>
      <c r="DN79" s="208"/>
      <c r="DO79" s="208" t="str">
        <f>J79 &amp; " " &amp; IF(M79="","",TEXT(M79,"M/D-")) &amp; IF(N79="","",TEXT(N79,"M/D")) &amp; " "</f>
        <v xml:space="preserve">4 2/10-2/20 </v>
      </c>
      <c r="DP79" s="207" t="str">
        <f>TEXT(AB79,"#0.00%") &amp; " "</f>
        <v xml:space="preserve">0.00% </v>
      </c>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c r="EX79" s="208"/>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1181</v>
      </c>
      <c r="E80" s="148"/>
      <c r="F80" s="148"/>
      <c r="G80" s="148"/>
      <c r="H80" s="148"/>
      <c r="I80" s="184"/>
      <c r="J80" s="184">
        <v>5</v>
      </c>
      <c r="K80" s="148"/>
      <c r="L80" s="148"/>
      <c r="M80" s="126">
        <v>43516</v>
      </c>
      <c r="N80" s="126">
        <v>43524</v>
      </c>
      <c r="O80" s="148"/>
      <c r="P80" s="149">
        <v>9</v>
      </c>
      <c r="Q80" s="149">
        <v>9</v>
      </c>
      <c r="R80" s="150">
        <f ca="1">IF(M80="","0",(N80-M80+1)-COUNTIFS(INDIRECT(getCalendarRange(O80)),"&gt;=" &amp; M80,INDIRECT(getCalendarRange(O80)),"&lt;=" &amp; N80))</f>
        <v>9</v>
      </c>
      <c r="S80" s="150">
        <f ca="1">IF(M80&gt;TODAY(),0,IF(N80&lt;TODAY(),R80,(TODAY()-M80+1)-COUNTIFS(INDIRECT(getCalendarRange(O80)),"&gt;=" &amp; M80,INDIRECT(getCalendarRange(O80)),"&lt;=" &amp; TODAY())))</f>
        <v>9</v>
      </c>
      <c r="T80" s="126"/>
      <c r="U80" s="126"/>
      <c r="V80" s="151"/>
      <c r="W80" s="152" t="str">
        <f ca="1">IF(U80="","0",IF(T80="","0",(U80-T80+1)-COUNTIFS(INDIRECT(getCalendarRange(O80)),"&gt;=" &amp; T80,INDIRECT(getCalendarRange(O80)),"&lt;=" &amp; U80)))</f>
        <v>0</v>
      </c>
      <c r="X80" s="153">
        <v>1</v>
      </c>
      <c r="Y80" s="183" t="s">
        <v>1084</v>
      </c>
      <c r="Z80" s="154"/>
      <c r="AA80" s="155">
        <v>1</v>
      </c>
      <c r="AB80" s="156">
        <v>0</v>
      </c>
      <c r="AC80" s="209"/>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c r="DP80" s="208"/>
      <c r="DQ80" s="208"/>
      <c r="DR80" s="208"/>
      <c r="DS80" s="208"/>
      <c r="DT80" s="208"/>
      <c r="DU80" s="208"/>
      <c r="DV80" s="208"/>
      <c r="DW80" s="208"/>
      <c r="DX80" s="208"/>
      <c r="DY80" s="208" t="str">
        <f>J80 &amp; " " &amp; IF(M80="","",TEXT(M80,"M/D-")) &amp; IF(N80="","",TEXT(N80,"M/D")) &amp; " "</f>
        <v xml:space="preserve">5 2/20-2/28 </v>
      </c>
      <c r="DZ80" s="207" t="str">
        <f>TEXT(AB80,"#0.00%") &amp; " "</f>
        <v xml:space="preserve">0.00% </v>
      </c>
      <c r="EA80" s="208"/>
      <c r="EB80" s="208"/>
      <c r="EC80" s="208"/>
      <c r="ED80" s="208"/>
      <c r="EE80" s="208"/>
      <c r="EF80" s="208"/>
      <c r="EG80" s="208"/>
      <c r="EH80" s="208"/>
      <c r="EI80" s="208"/>
      <c r="EJ80" s="208"/>
      <c r="EK80" s="208"/>
      <c r="EL80" s="208"/>
      <c r="EM80" s="208"/>
      <c r="EN80" s="208"/>
      <c r="EO80" s="208"/>
      <c r="EP80" s="208"/>
      <c r="EQ80" s="208"/>
      <c r="ER80" s="208"/>
      <c r="ES80" s="208"/>
      <c r="ET80" s="208"/>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1182</v>
      </c>
      <c r="E81" s="148"/>
      <c r="F81" s="148"/>
      <c r="G81" s="148"/>
      <c r="H81" s="148"/>
      <c r="I81" s="184"/>
      <c r="J81" s="184">
        <v>6</v>
      </c>
      <c r="K81" s="148"/>
      <c r="L81" s="148"/>
      <c r="M81" s="126">
        <v>43548</v>
      </c>
      <c r="N81" s="126">
        <v>43559</v>
      </c>
      <c r="O81" s="148"/>
      <c r="P81" s="149">
        <v>12</v>
      </c>
      <c r="Q81" s="149">
        <v>0</v>
      </c>
      <c r="R81" s="150">
        <f ca="1">IF(M81="","0",(N81-M81+1)-COUNTIFS(INDIRECT(getCalendarRange(O81)),"&gt;=" &amp; M81,INDIRECT(getCalendarRange(O81)),"&lt;=" &amp; N81))</f>
        <v>12</v>
      </c>
      <c r="S81" s="150">
        <f ca="1">IF(M81&gt;TODAY(),0,IF(N81&lt;TODAY(),R81,(TODAY()-M81+1)-COUNTIFS(INDIRECT(getCalendarRange(O81)),"&gt;=" &amp; M81,INDIRECT(getCalendarRange(O81)),"&lt;=" &amp; TODAY())))</f>
        <v>0</v>
      </c>
      <c r="T81" s="126"/>
      <c r="U81" s="126"/>
      <c r="V81" s="151"/>
      <c r="W81" s="152" t="str">
        <f ca="1">IF(U81="","0",IF(T81="","0",(U81-T81+1)-COUNTIFS(INDIRECT(getCalendarRange(O81)),"&gt;=" &amp; T81,INDIRECT(getCalendarRange(O81)),"&lt;=" &amp; U81)))</f>
        <v>0</v>
      </c>
      <c r="X81" s="153">
        <v>1</v>
      </c>
      <c r="Y81" s="183" t="s">
        <v>1084</v>
      </c>
      <c r="Z81" s="154"/>
      <c r="AA81" s="155">
        <v>0</v>
      </c>
      <c r="AB81" s="156">
        <v>0</v>
      </c>
      <c r="AC81" s="209"/>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c r="DZ81" s="208"/>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c r="EZ81" s="208"/>
      <c r="FA81" s="208"/>
      <c r="FB81" s="208"/>
      <c r="FC81" s="208"/>
      <c r="FD81" s="208"/>
      <c r="FE81" s="208" t="str">
        <f>J81 &amp; " " &amp; IF(M81="","",TEXT(M81,"M/D-")) &amp; IF(N81="","",TEXT(N81,"M/D")) &amp; " "</f>
        <v xml:space="preserve">6 3/24-4/4 </v>
      </c>
      <c r="FF81" s="207" t="str">
        <f>TEXT(AB81,"#0.00%") &amp; " "</f>
        <v xml:space="preserve">0.00% </v>
      </c>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c r="C82" s="147">
        <v>6</v>
      </c>
      <c r="D82" s="157" t="s">
        <v>1183</v>
      </c>
      <c r="E82" s="148"/>
      <c r="F82" s="148"/>
      <c r="G82" s="148"/>
      <c r="H82" s="148"/>
      <c r="I82" s="184"/>
      <c r="J82" s="184">
        <v>7</v>
      </c>
      <c r="K82" s="148"/>
      <c r="L82" s="148"/>
      <c r="M82" s="126">
        <v>43559</v>
      </c>
      <c r="N82" s="126">
        <v>43579</v>
      </c>
      <c r="O82" s="148"/>
      <c r="P82" s="149">
        <v>21</v>
      </c>
      <c r="Q82" s="149">
        <v>0</v>
      </c>
      <c r="R82" s="150">
        <f ca="1">IF(M82="","0",(N82-M82+1)-COUNTIFS(INDIRECT(getCalendarRange(O82)),"&gt;=" &amp; M82,INDIRECT(getCalendarRange(O82)),"&lt;=" &amp; N82))</f>
        <v>21</v>
      </c>
      <c r="S82" s="150">
        <f ca="1">IF(M82&gt;TODAY(),0,IF(N82&lt;TODAY(),R82,(TODAY()-M82+1)-COUNTIFS(INDIRECT(getCalendarRange(O82)),"&gt;=" &amp; M82,INDIRECT(getCalendarRange(O82)),"&lt;=" &amp; TODAY())))</f>
        <v>0</v>
      </c>
      <c r="T82" s="126"/>
      <c r="U82" s="126"/>
      <c r="V82" s="151"/>
      <c r="W82" s="152" t="str">
        <f ca="1">IF(U82="","0",IF(T82="","0",(U82-T82+1)-COUNTIFS(INDIRECT(getCalendarRange(O82)),"&gt;=" &amp; T82,INDIRECT(getCalendarRange(O82)),"&lt;=" &amp; U82)))</f>
        <v>0</v>
      </c>
      <c r="X82" s="153">
        <v>1</v>
      </c>
      <c r="Y82" s="183" t="s">
        <v>1084</v>
      </c>
      <c r="Z82" s="154"/>
      <c r="AA82" s="155">
        <v>0</v>
      </c>
      <c r="AB82" s="156">
        <v>0</v>
      </c>
      <c r="AC82" s="209"/>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c r="FD82" s="208"/>
      <c r="FE82" s="208"/>
      <c r="FF82" s="208"/>
      <c r="FG82" s="208"/>
      <c r="FH82" s="208"/>
      <c r="FI82" s="208"/>
      <c r="FJ82" s="208"/>
      <c r="FK82" s="208"/>
      <c r="FL82" s="208"/>
      <c r="FM82" s="208"/>
      <c r="FN82" s="208"/>
      <c r="FO82" s="208"/>
      <c r="FP82" s="208" t="str">
        <f>J82 &amp; " " &amp; IF(M82="","",TEXT(M82,"M/D-")) &amp; IF(N82="","",TEXT(N82,"M/D")) &amp; " "</f>
        <v xml:space="preserve">7 4/4-4/24 </v>
      </c>
      <c r="FQ82" s="207" t="str">
        <f>TEXT(AB82,"#0.00%") &amp; " "</f>
        <v xml:space="preserve">0.00% </v>
      </c>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c r="HW82" s="208"/>
      <c r="HX82" s="208"/>
      <c r="HY82" s="208"/>
      <c r="HZ82" s="208"/>
      <c r="IA82" s="208"/>
      <c r="IB82" s="208"/>
      <c r="IC82" s="208"/>
      <c r="ID82" s="208"/>
      <c r="IE82" s="208"/>
      <c r="IF82" s="208"/>
      <c r="IG82" s="208"/>
      <c r="IH82" s="208"/>
      <c r="II82" s="208"/>
      <c r="IJ82" s="208"/>
      <c r="IK82" s="208"/>
    </row>
    <row r="83" spans="1:245">
      <c r="A83" s="147"/>
      <c r="B83" s="147" t="s">
        <v>996</v>
      </c>
      <c r="C83" s="147">
        <v>3</v>
      </c>
      <c r="D83" s="157" t="s">
        <v>1011</v>
      </c>
      <c r="E83" s="148"/>
      <c r="F83" s="148"/>
      <c r="G83" s="148" t="s">
        <v>948</v>
      </c>
      <c r="H83" s="148"/>
      <c r="I83" s="148"/>
      <c r="J83" s="148"/>
      <c r="K83" s="148"/>
      <c r="L83" s="148"/>
      <c r="M83" s="126">
        <v>43617</v>
      </c>
      <c r="N83" s="126">
        <v>43623</v>
      </c>
      <c r="O83" s="148"/>
      <c r="P83" s="149">
        <v>14</v>
      </c>
      <c r="Q83" s="149">
        <v>0</v>
      </c>
      <c r="R83" s="150">
        <f ca="1">IF(M83="","0",(N83-M83+1)-COUNTIFS(INDIRECT(getCalendarRange(O83)),"&gt;=" &amp; M83,INDIRECT(getCalendarRange(O83)),"&lt;=" &amp; N83))</f>
        <v>7</v>
      </c>
      <c r="S83" s="150">
        <f ca="1">IF(M83&gt;TODAY(),0,IF(N83&lt;TODAY(),R83,(TODAY()-M83+1)-COUNTIFS(INDIRECT(getCalendarRange(O83)),"&gt;=" &amp; M83,INDIRECT(getCalendarRange(O83)),"&lt;=" &amp; TODAY())))</f>
        <v>0</v>
      </c>
      <c r="T83" s="126"/>
      <c r="U83" s="126"/>
      <c r="V83" s="151">
        <v>0</v>
      </c>
      <c r="W83" s="152" t="str">
        <f ca="1">IF(U83="","0",IF(T83="","0",(U83-T83+1)-COUNTIFS(INDIRECT(getCalendarRange(O83)),"&gt;=" &amp; T83,INDIRECT(getCalendarRange(O83)),"&lt;=" &amp; U83)))</f>
        <v>0</v>
      </c>
      <c r="X83" s="153"/>
      <c r="Y83" s="148"/>
      <c r="Z83" s="154"/>
      <c r="AA83" s="155">
        <v>0</v>
      </c>
      <c r="AB83" s="156">
        <v>0</v>
      </c>
      <c r="AC83" s="209"/>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c r="FQ83" s="208"/>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t="str">
        <f>G83 &amp; " " &amp; IF(M83="","",TEXT(M83,"M/D-")) &amp; IF(N83="","",TEXT(N83,"M/D")) &amp; " "</f>
        <v xml:space="preserve">테스트실시 6/1-6/7 </v>
      </c>
      <c r="HW83" s="207" t="str">
        <f>TEXT(AB83,"#0.00%") &amp; " "</f>
        <v xml:space="preserve">0.00% </v>
      </c>
      <c r="HX83" s="208"/>
      <c r="HY83" s="208"/>
      <c r="HZ83" s="208"/>
      <c r="IA83" s="208"/>
      <c r="IB83" s="208"/>
      <c r="IC83" s="208"/>
      <c r="ID83" s="208"/>
      <c r="IE83" s="208"/>
      <c r="IF83" s="208"/>
      <c r="IG83" s="208"/>
      <c r="IH83" s="208"/>
      <c r="II83" s="208"/>
      <c r="IJ83" s="208"/>
      <c r="IK83" s="208"/>
    </row>
    <row r="84" spans="1:245">
      <c r="A84" s="147"/>
      <c r="B84" s="147"/>
      <c r="C84" s="147">
        <v>4</v>
      </c>
      <c r="D84" s="157" t="s">
        <v>981</v>
      </c>
      <c r="E84" s="148"/>
      <c r="F84" s="148"/>
      <c r="G84" s="148"/>
      <c r="H84" s="148" t="s">
        <v>949</v>
      </c>
      <c r="I84" s="148"/>
      <c r="J84" s="148"/>
      <c r="K84" s="148"/>
      <c r="L84" s="148"/>
      <c r="M84" s="126">
        <v>43617</v>
      </c>
      <c r="N84" s="126">
        <v>43623</v>
      </c>
      <c r="O84" s="148"/>
      <c r="P84" s="149">
        <v>7</v>
      </c>
      <c r="Q84" s="149">
        <v>0</v>
      </c>
      <c r="R84" s="150">
        <f ca="1">IF(M84="","0",(N84-M84+1)-COUNTIFS(INDIRECT(getCalendarRange(O84)),"&gt;=" &amp; M84,INDIRECT(getCalendarRange(O84)),"&lt;=" &amp; N84))</f>
        <v>7</v>
      </c>
      <c r="S84" s="150">
        <f ca="1">IF(M84&gt;TODAY(),0,IF(N84&lt;TODAY(),R84,(TODAY()-M84+1)-COUNTIFS(INDIRECT(getCalendarRange(O84)),"&gt;=" &amp; M84,INDIRECT(getCalendarRange(O84)),"&lt;=" &amp; TODAY())))</f>
        <v>0</v>
      </c>
      <c r="T84" s="126"/>
      <c r="U84" s="126"/>
      <c r="V84" s="151"/>
      <c r="W84" s="152" t="str">
        <f ca="1">IF(U84="","0",IF(T84="","0",(U84-T84+1)-COUNTIFS(INDIRECT(getCalendarRange(O84)),"&gt;=" &amp; T84,INDIRECT(getCalendarRange(O84)),"&lt;=" &amp; U84)))</f>
        <v>0</v>
      </c>
      <c r="X84" s="153">
        <v>1</v>
      </c>
      <c r="Y84" s="184" t="s">
        <v>1103</v>
      </c>
      <c r="Z84" s="154"/>
      <c r="AA84" s="155">
        <v>0</v>
      </c>
      <c r="AB84" s="156">
        <v>0</v>
      </c>
      <c r="AC84" s="209"/>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H84 &amp; " " &amp; IF(M84="","",TEXT(M84,"M/D-")) &amp; IF(N84="","",TEXT(N84,"M/D")) &amp; " "</f>
        <v xml:space="preserve">통합테스트실시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c r="C85" s="147">
        <v>4</v>
      </c>
      <c r="D85" s="157" t="s">
        <v>982</v>
      </c>
      <c r="E85" s="148"/>
      <c r="F85" s="148"/>
      <c r="G85" s="148"/>
      <c r="H85" s="148" t="s">
        <v>950</v>
      </c>
      <c r="I85" s="148"/>
      <c r="J85" s="148"/>
      <c r="K85" s="148"/>
      <c r="L85" s="148"/>
      <c r="M85" s="126">
        <v>43617</v>
      </c>
      <c r="N85" s="126">
        <v>43623</v>
      </c>
      <c r="O85" s="148"/>
      <c r="P85" s="149">
        <v>7</v>
      </c>
      <c r="Q85" s="149">
        <v>0</v>
      </c>
      <c r="R85" s="150">
        <f ca="1">IF(M85="","0",(N85-M85+1)-COUNTIFS(INDIRECT(getCalendarRange(O85)),"&gt;=" &amp; M85,INDIRECT(getCalendarRange(O85)),"&lt;=" &amp; N85))</f>
        <v>7</v>
      </c>
      <c r="S85" s="150">
        <f ca="1">IF(M85&gt;TODAY(),0,IF(N85&lt;TODAY(),R85,(TODAY()-M85+1)-COUNTIFS(INDIRECT(getCalendarRange(O85)),"&gt;=" &amp; M85,INDIRECT(getCalendarRange(O85)),"&lt;=" &amp; TODAY())))</f>
        <v>0</v>
      </c>
      <c r="T85" s="126"/>
      <c r="U85" s="126"/>
      <c r="V85" s="151"/>
      <c r="W85" s="152" t="str">
        <f ca="1">IF(U85="","0",IF(T85="","0",(U85-T85+1)-COUNTIFS(INDIRECT(getCalendarRange(O85)),"&gt;=" &amp; T85,INDIRECT(getCalendarRange(O85)),"&lt;=" &amp; U85)))</f>
        <v>0</v>
      </c>
      <c r="X85" s="153">
        <v>1</v>
      </c>
      <c r="Y85" s="184" t="s">
        <v>1103</v>
      </c>
      <c r="Z85" s="154"/>
      <c r="AA85" s="155">
        <v>0</v>
      </c>
      <c r="AB85" s="156">
        <v>0</v>
      </c>
      <c r="AC85" s="209"/>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t="str">
        <f>H85 &amp; " " &amp; IF(M85="","",TEXT(M85,"M/D-")) &amp; IF(N85="","",TEXT(N85,"M/D")) &amp; " "</f>
        <v xml:space="preserve">시스템테스트실시 6/1-6/7 </v>
      </c>
      <c r="HW85" s="207" t="str">
        <f>TEXT(AB85,"#0.00%") &amp; " "</f>
        <v xml:space="preserve">0.00% </v>
      </c>
      <c r="HX85" s="208"/>
      <c r="HY85" s="208"/>
      <c r="HZ85" s="208"/>
      <c r="IA85" s="208"/>
      <c r="IB85" s="208"/>
      <c r="IC85" s="208"/>
      <c r="ID85" s="208"/>
      <c r="IE85" s="208"/>
      <c r="IF85" s="208"/>
      <c r="IG85" s="208"/>
      <c r="IH85" s="208"/>
      <c r="II85" s="208"/>
      <c r="IJ85" s="208"/>
      <c r="IK85" s="208"/>
    </row>
    <row r="86" spans="1:245">
      <c r="A86" s="147"/>
      <c r="B86" s="147" t="s">
        <v>996</v>
      </c>
      <c r="C86" s="147">
        <v>2</v>
      </c>
      <c r="D86" s="157" t="s">
        <v>1012</v>
      </c>
      <c r="E86" s="148"/>
      <c r="F86" s="148" t="s">
        <v>951</v>
      </c>
      <c r="G86" s="148"/>
      <c r="H86" s="148"/>
      <c r="I86" s="148"/>
      <c r="J86" s="148"/>
      <c r="K86" s="148"/>
      <c r="L86" s="148"/>
      <c r="M86" s="126">
        <v>43623</v>
      </c>
      <c r="N86" s="126">
        <v>43630</v>
      </c>
      <c r="O86" s="148"/>
      <c r="P86" s="149">
        <v>17</v>
      </c>
      <c r="Q86" s="149">
        <v>0</v>
      </c>
      <c r="R86" s="150">
        <f ca="1">IF(M86="","0",(N86-M86+1)-COUNTIFS(INDIRECT(getCalendarRange(O86)),"&gt;=" &amp; M86,INDIRECT(getCalendarRange(O86)),"&lt;=" &amp; N86))</f>
        <v>8</v>
      </c>
      <c r="S86" s="150">
        <f ca="1">IF(M86&gt;TODAY(),0,IF(N86&lt;TODAY(),R86,(TODAY()-M86+1)-COUNTIFS(INDIRECT(getCalendarRange(O86)),"&gt;=" &amp; M86,INDIRECT(getCalendarRange(O86)),"&lt;=" &amp; TODAY())))</f>
        <v>0</v>
      </c>
      <c r="T86" s="126"/>
      <c r="U86" s="126"/>
      <c r="V86" s="151">
        <v>0</v>
      </c>
      <c r="W86" s="152" t="str">
        <f ca="1">IF(U86="","0",IF(T86="","0",(U86-T86+1)-COUNTIFS(INDIRECT(getCalendarRange(O86)),"&gt;=" &amp; T86,INDIRECT(getCalendarRange(O86)),"&lt;=" &amp; U86)))</f>
        <v>0</v>
      </c>
      <c r="X86" s="153"/>
      <c r="Y86" s="148"/>
      <c r="Z86" s="154"/>
      <c r="AA86" s="155">
        <v>0</v>
      </c>
      <c r="AB86" s="156">
        <v>0</v>
      </c>
      <c r="AC86" s="209"/>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c r="HW86" s="208"/>
      <c r="HX86" s="208"/>
      <c r="HY86" s="208"/>
      <c r="HZ86" s="208"/>
      <c r="IA86" s="208"/>
      <c r="IB86" s="208" t="str">
        <f>F86 &amp; " " &amp; IF(M86="","",TEXT(M86,"M/D-")) &amp; IF(N86="","",TEXT(N86,"M/D")) &amp; " "</f>
        <v xml:space="preserve">구현 6/7-6/14 </v>
      </c>
      <c r="IC86" s="207" t="str">
        <f>TEXT(AB86,"#0.00%") &amp; " "</f>
        <v xml:space="preserve">0.00% </v>
      </c>
      <c r="ID86" s="208"/>
      <c r="IE86" s="208"/>
      <c r="IF86" s="208"/>
      <c r="IG86" s="208"/>
      <c r="IH86" s="208"/>
      <c r="II86" s="208"/>
      <c r="IJ86" s="208"/>
      <c r="IK86" s="208"/>
    </row>
    <row r="87" spans="1:245">
      <c r="A87" s="147"/>
      <c r="B87" s="147" t="s">
        <v>996</v>
      </c>
      <c r="C87" s="147">
        <v>3</v>
      </c>
      <c r="D87" s="157" t="s">
        <v>1013</v>
      </c>
      <c r="E87" s="148"/>
      <c r="F87" s="148"/>
      <c r="G87" s="148" t="s">
        <v>952</v>
      </c>
      <c r="H87" s="148"/>
      <c r="I87" s="148"/>
      <c r="J87" s="148"/>
      <c r="K87" s="148"/>
      <c r="L87" s="148"/>
      <c r="M87" s="126">
        <v>43623</v>
      </c>
      <c r="N87" s="126">
        <v>43625</v>
      </c>
      <c r="O87" s="148"/>
      <c r="P87" s="149">
        <v>3</v>
      </c>
      <c r="Q87" s="149">
        <v>0</v>
      </c>
      <c r="R87" s="150">
        <f ca="1">IF(M87="","0",(N87-M87+1)-COUNTIFS(INDIRECT(getCalendarRange(O87)),"&gt;=" &amp; M87,INDIRECT(getCalendarRange(O87)),"&lt;=" &amp; N87))</f>
        <v>3</v>
      </c>
      <c r="S87" s="150">
        <f ca="1">IF(M87&gt;TODAY(),0,IF(N87&lt;TODAY(),R87,(TODAY()-M87+1)-COUNTIFS(INDIRECT(getCalendarRange(O87)),"&gt;=" &amp; M87,INDIRECT(getCalendarRange(O87)),"&lt;=" &amp; TODAY())))</f>
        <v>0</v>
      </c>
      <c r="T87" s="126"/>
      <c r="U87" s="126"/>
      <c r="V87" s="151">
        <v>0</v>
      </c>
      <c r="W87" s="152" t="str">
        <f ca="1">IF(U87="","0",IF(T87="","0",(U87-T87+1)-COUNTIFS(INDIRECT(getCalendarRange(O87)),"&gt;=" &amp; T87,INDIRECT(getCalendarRange(O87)),"&lt;=" &amp; U87)))</f>
        <v>0</v>
      </c>
      <c r="X87" s="153"/>
      <c r="Y87" s="148"/>
      <c r="Z87" s="154"/>
      <c r="AA87" s="155">
        <v>0</v>
      </c>
      <c r="AB87" s="156">
        <v>0</v>
      </c>
      <c r="AC87" s="209"/>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G87 &amp; " " &amp; IF(M87="","",TEXT(M87,"M/D-")) &amp; IF(N87="","",TEXT(N87,"M/D")) &amp; " "</f>
        <v xml:space="preserve">구현준비 6/7-6/9 </v>
      </c>
      <c r="IC87" s="207" t="str">
        <f>TEXT(AB87,"#0.00%") &amp; " "</f>
        <v xml:space="preserve">0.00% </v>
      </c>
      <c r="ID87" s="208"/>
      <c r="IE87" s="208"/>
      <c r="IF87" s="208"/>
      <c r="IG87" s="208"/>
      <c r="IH87" s="208"/>
      <c r="II87" s="208"/>
      <c r="IJ87" s="208"/>
      <c r="IK87" s="208"/>
    </row>
    <row r="88" spans="1:245">
      <c r="A88" s="147"/>
      <c r="B88" s="147"/>
      <c r="C88" s="147">
        <v>4</v>
      </c>
      <c r="D88" s="157" t="s">
        <v>983</v>
      </c>
      <c r="E88" s="148"/>
      <c r="F88" s="148"/>
      <c r="G88" s="148"/>
      <c r="H88" s="148" t="s">
        <v>953</v>
      </c>
      <c r="I88" s="148"/>
      <c r="J88" s="148"/>
      <c r="K88" s="148"/>
      <c r="L88" s="148"/>
      <c r="M88" s="126">
        <v>43623</v>
      </c>
      <c r="N88" s="126">
        <v>43625</v>
      </c>
      <c r="O88" s="148"/>
      <c r="P88" s="149">
        <v>3</v>
      </c>
      <c r="Q88" s="149">
        <v>0</v>
      </c>
      <c r="R88" s="150">
        <f ca="1">IF(M88="","0",(N88-M88+1)-COUNTIFS(INDIRECT(getCalendarRange(O88)),"&gt;=" &amp; M88,INDIRECT(getCalendarRange(O88)),"&lt;=" &amp; N88))</f>
        <v>3</v>
      </c>
      <c r="S88" s="150">
        <f ca="1">IF(M88&gt;TODAY(),0,IF(N88&lt;TODAY(),R88,(TODAY()-M88+1)-COUNTIFS(INDIRECT(getCalendarRange(O88)),"&gt;=" &amp; M88,INDIRECT(getCalendarRange(O88)),"&lt;=" &amp; TODAY())))</f>
        <v>0</v>
      </c>
      <c r="T88" s="126"/>
      <c r="U88" s="126"/>
      <c r="V88" s="151"/>
      <c r="W88" s="152" t="str">
        <f ca="1">IF(U88="","0",IF(T88="","0",(U88-T88+1)-COUNTIFS(INDIRECT(getCalendarRange(O88)),"&gt;=" &amp; T88,INDIRECT(getCalendarRange(O88)),"&lt;=" &amp; U88)))</f>
        <v>0</v>
      </c>
      <c r="X88" s="153">
        <v>1</v>
      </c>
      <c r="Y88" s="183" t="s">
        <v>1082</v>
      </c>
      <c r="Z88" s="154"/>
      <c r="AA88" s="155">
        <v>0</v>
      </c>
      <c r="AB88" s="156">
        <v>0</v>
      </c>
      <c r="AC88" s="209"/>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t="str">
        <f>H88 &amp; " " &amp; IF(M88="","",TEXT(M88,"M/D-")) &amp; IF(N88="","",TEXT(N88,"M/D")) &amp; " "</f>
        <v xml:space="preserve">Release 및 Contingency plan수립 6/7-6/9 </v>
      </c>
      <c r="IC88" s="207" t="str">
        <f>TEXT(AB88,"#0.00%") &amp; " "</f>
        <v xml:space="preserve">0.00% </v>
      </c>
      <c r="ID88" s="208"/>
      <c r="IE88" s="208"/>
      <c r="IF88" s="208"/>
      <c r="IG88" s="208"/>
      <c r="IH88" s="208"/>
      <c r="II88" s="208"/>
      <c r="IJ88" s="208"/>
      <c r="IK88" s="208"/>
    </row>
    <row r="89" spans="1:245">
      <c r="A89" s="147"/>
      <c r="B89" s="147" t="s">
        <v>996</v>
      </c>
      <c r="C89" s="147">
        <v>3</v>
      </c>
      <c r="D89" s="157" t="s">
        <v>1014</v>
      </c>
      <c r="E89" s="148"/>
      <c r="F89" s="148"/>
      <c r="G89" s="148" t="s">
        <v>954</v>
      </c>
      <c r="H89" s="148"/>
      <c r="I89" s="148"/>
      <c r="J89" s="148"/>
      <c r="K89" s="148"/>
      <c r="L89" s="148"/>
      <c r="M89" s="126">
        <v>43624</v>
      </c>
      <c r="N89" s="126">
        <v>43630</v>
      </c>
      <c r="O89" s="148"/>
      <c r="P89" s="149">
        <v>14</v>
      </c>
      <c r="Q89" s="149">
        <v>0</v>
      </c>
      <c r="R89" s="150">
        <f ca="1">IF(M89="","0",(N89-M89+1)-COUNTIFS(INDIRECT(getCalendarRange(O89)),"&gt;=" &amp; M89,INDIRECT(getCalendarRange(O89)),"&lt;=" &amp; N89))</f>
        <v>7</v>
      </c>
      <c r="S89" s="150">
        <f ca="1">IF(M89&gt;TODAY(),0,IF(N89&lt;TODAY(),R89,(TODAY()-M89+1)-COUNTIFS(INDIRECT(getCalendarRange(O89)),"&gt;=" &amp; M89,INDIRECT(getCalendarRange(O89)),"&lt;=" &amp; TODAY())))</f>
        <v>0</v>
      </c>
      <c r="T89" s="126"/>
      <c r="U89" s="126"/>
      <c r="V89" s="151">
        <v>0</v>
      </c>
      <c r="W89" s="152" t="str">
        <f ca="1">IF(U89="","0",IF(T89="","0",(U89-T89+1)-COUNTIFS(INDIRECT(getCalendarRange(O89)),"&gt;=" &amp; T89,INDIRECT(getCalendarRange(O89)),"&lt;=" &amp; U89)))</f>
        <v>0</v>
      </c>
      <c r="X89" s="153"/>
      <c r="Y89" s="148"/>
      <c r="Z89" s="154"/>
      <c r="AA89" s="155">
        <v>0</v>
      </c>
      <c r="AB89" s="156">
        <v>0</v>
      </c>
      <c r="AC89" s="209"/>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c r="IC89" s="208" t="str">
        <f>G89 &amp; " " &amp; IF(M89="","",TEXT(M89,"M/D-")) &amp; IF(N89="","",TEXT(N89,"M/D")) &amp; " "</f>
        <v xml:space="preserve">Conversion 및 Release 6/8-6/14 </v>
      </c>
      <c r="ID89" s="207" t="str">
        <f>TEXT(AB89,"#0.00%") &amp; " "</f>
        <v xml:space="preserve">0.00% </v>
      </c>
      <c r="IE89" s="208"/>
      <c r="IF89" s="208"/>
      <c r="IG89" s="208"/>
      <c r="IH89" s="208"/>
      <c r="II89" s="208"/>
      <c r="IJ89" s="208"/>
      <c r="IK89" s="208"/>
    </row>
    <row r="90" spans="1:245">
      <c r="A90" s="147"/>
      <c r="B90" s="147"/>
      <c r="C90" s="147">
        <v>4</v>
      </c>
      <c r="D90" s="157" t="s">
        <v>984</v>
      </c>
      <c r="E90" s="148"/>
      <c r="F90" s="148"/>
      <c r="G90" s="148"/>
      <c r="H90" s="148" t="s">
        <v>955</v>
      </c>
      <c r="I90" s="148"/>
      <c r="J90" s="148"/>
      <c r="K90" s="148"/>
      <c r="L90" s="148"/>
      <c r="M90" s="126">
        <v>43624</v>
      </c>
      <c r="N90" s="126">
        <v>43629</v>
      </c>
      <c r="O90" s="148"/>
      <c r="P90" s="149">
        <v>6</v>
      </c>
      <c r="Q90" s="149">
        <v>0</v>
      </c>
      <c r="R90" s="150">
        <f ca="1">IF(M90="","0",(N90-M90+1)-COUNTIFS(INDIRECT(getCalendarRange(O90)),"&gt;=" &amp; M90,INDIRECT(getCalendarRange(O90)),"&lt;=" &amp; N90))</f>
        <v>6</v>
      </c>
      <c r="S90" s="150">
        <f ca="1">IF(M90&gt;TODAY(),0,IF(N90&lt;TODAY(),R90,(TODAY()-M90+1)-COUNTIFS(INDIRECT(getCalendarRange(O90)),"&gt;=" &amp; M90,INDIRECT(getCalendarRange(O90)),"&lt;=" &amp; TODAY())))</f>
        <v>0</v>
      </c>
      <c r="T90" s="126"/>
      <c r="U90" s="126"/>
      <c r="V90" s="151"/>
      <c r="W90" s="152" t="str">
        <f ca="1">IF(U90="","0",IF(T90="","0",(U90-T90+1)-COUNTIFS(INDIRECT(getCalendarRange(O90)),"&gt;=" &amp; T90,INDIRECT(getCalendarRange(O90)),"&lt;=" &amp; U90)))</f>
        <v>0</v>
      </c>
      <c r="X90" s="153">
        <v>1</v>
      </c>
      <c r="Y90" s="183" t="s">
        <v>1084</v>
      </c>
      <c r="Z90" s="154"/>
      <c r="AA90" s="155">
        <v>0</v>
      </c>
      <c r="AB90" s="156">
        <v>0</v>
      </c>
      <c r="AC90" s="209"/>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H90 &amp; " " &amp; IF(M90="","",TEXT(M90,"M/D-")) &amp; IF(N90="","",TEXT(N90,"M/D")) &amp; " "</f>
        <v xml:space="preserve">데이터베이스구축 6/8-6/13 </v>
      </c>
      <c r="ID90" s="207" t="str">
        <f>TEXT(AB90,"#0.00%") &amp; " "</f>
        <v xml:space="preserve">0.00% </v>
      </c>
      <c r="IE90" s="208"/>
      <c r="IF90" s="208"/>
      <c r="IG90" s="208"/>
      <c r="IH90" s="208"/>
      <c r="II90" s="208"/>
      <c r="IJ90" s="208"/>
      <c r="IK90" s="208"/>
    </row>
    <row r="91" spans="1:245">
      <c r="A91" s="147"/>
      <c r="B91" s="147"/>
      <c r="C91" s="147">
        <v>4</v>
      </c>
      <c r="D91" s="157" t="s">
        <v>985</v>
      </c>
      <c r="E91" s="148"/>
      <c r="F91" s="148"/>
      <c r="G91" s="148"/>
      <c r="H91" s="148" t="s">
        <v>956</v>
      </c>
      <c r="I91" s="148"/>
      <c r="J91" s="148"/>
      <c r="K91" s="148"/>
      <c r="L91" s="148"/>
      <c r="M91" s="126">
        <v>43624</v>
      </c>
      <c r="N91" s="126">
        <v>43629</v>
      </c>
      <c r="O91" s="148"/>
      <c r="P91" s="149">
        <v>6</v>
      </c>
      <c r="Q91" s="149">
        <v>0</v>
      </c>
      <c r="R91" s="150">
        <f ca="1">IF(M91="","0",(N91-M91+1)-COUNTIFS(INDIRECT(getCalendarRange(O91)),"&gt;=" &amp; M91,INDIRECT(getCalendarRange(O91)),"&lt;=" &amp; N91))</f>
        <v>6</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3" t="s">
        <v>1082</v>
      </c>
      <c r="Z91" s="154"/>
      <c r="AA91" s="155">
        <v>0</v>
      </c>
      <c r="AB91" s="156">
        <v>0</v>
      </c>
      <c r="AC91" s="209"/>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t="str">
        <f>H91 &amp; " " &amp; IF(M91="","",TEXT(M91,"M/D-")) &amp; IF(N91="","",TEXT(N91,"M/D")) &amp; " "</f>
        <v xml:space="preserve">소프트웨어설치 6/8-6/13 </v>
      </c>
      <c r="ID91" s="207" t="str">
        <f>TEXT(AB91,"#0.00%") &amp; " "</f>
        <v xml:space="preserve">0.00% </v>
      </c>
      <c r="IE91" s="208"/>
      <c r="IF91" s="208"/>
      <c r="IG91" s="208"/>
      <c r="IH91" s="208"/>
      <c r="II91" s="208"/>
      <c r="IJ91" s="208"/>
      <c r="IK91" s="208"/>
    </row>
    <row r="92" spans="1:245">
      <c r="A92" s="147"/>
      <c r="B92" s="147"/>
      <c r="C92" s="147">
        <v>4</v>
      </c>
      <c r="D92" s="157" t="s">
        <v>986</v>
      </c>
      <c r="E92" s="148"/>
      <c r="F92" s="148"/>
      <c r="G92" s="148"/>
      <c r="H92" s="148" t="s">
        <v>957</v>
      </c>
      <c r="I92" s="148"/>
      <c r="J92" s="148"/>
      <c r="K92" s="148"/>
      <c r="L92" s="148"/>
      <c r="M92" s="126">
        <v>43629</v>
      </c>
      <c r="N92" s="126">
        <v>43630</v>
      </c>
      <c r="O92" s="148"/>
      <c r="P92" s="149">
        <v>2</v>
      </c>
      <c r="Q92" s="149">
        <v>0</v>
      </c>
      <c r="R92" s="150">
        <f ca="1">IF(M92="","0",(N92-M92+1)-COUNTIFS(INDIRECT(getCalendarRange(O92)),"&gt;=" &amp; M92,INDIRECT(getCalendarRange(O92)),"&lt;=" &amp; N92))</f>
        <v>2</v>
      </c>
      <c r="S92" s="150">
        <f ca="1">IF(M92&gt;TODAY(),0,IF(N92&lt;TODAY(),R92,(TODAY()-M92+1)-COUNTIFS(INDIRECT(getCalendarRange(O92)),"&gt;=" &amp; M92,INDIRECT(getCalendarRange(O92)),"&lt;=" &amp; TODAY())))</f>
        <v>0</v>
      </c>
      <c r="T92" s="126"/>
      <c r="U92" s="126"/>
      <c r="V92" s="151"/>
      <c r="W92" s="152" t="str">
        <f ca="1">IF(U92="","0",IF(T92="","0",(U92-T92+1)-COUNTIFS(INDIRECT(getCalendarRange(O92)),"&gt;=" &amp; T92,INDIRECT(getCalendarRange(O92)),"&lt;=" &amp; U92)))</f>
        <v>0</v>
      </c>
      <c r="X92" s="153">
        <v>1</v>
      </c>
      <c r="Y92" s="184" t="s">
        <v>1103</v>
      </c>
      <c r="Z92" s="154"/>
      <c r="AA92" s="155">
        <v>0</v>
      </c>
      <c r="AB92" s="156">
        <v>0</v>
      </c>
      <c r="AC92" s="209"/>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208"/>
      <c r="BJ92" s="208"/>
      <c r="BK92" s="208"/>
      <c r="BL92" s="208"/>
      <c r="BM92" s="208"/>
      <c r="BN92" s="208"/>
      <c r="BO92" s="208"/>
      <c r="BP92" s="208"/>
      <c r="BQ92" s="208"/>
      <c r="BR92" s="208"/>
      <c r="BS92" s="208"/>
      <c r="BT92" s="208"/>
      <c r="BU92" s="208"/>
      <c r="BV92" s="208"/>
      <c r="BW92" s="208"/>
      <c r="BX92" s="208"/>
      <c r="BY92" s="208"/>
      <c r="BZ92" s="208"/>
      <c r="CA92" s="208"/>
      <c r="CB92" s="208"/>
      <c r="CC92" s="208"/>
      <c r="CD92" s="208"/>
      <c r="CE92" s="208"/>
      <c r="CF92" s="208"/>
      <c r="CG92" s="208"/>
      <c r="CH92" s="208"/>
      <c r="CI92" s="208"/>
      <c r="CJ92" s="208"/>
      <c r="CK92" s="208"/>
      <c r="CL92" s="208"/>
      <c r="CM92" s="208"/>
      <c r="CN92" s="208"/>
      <c r="CO92" s="208"/>
      <c r="CP92" s="208"/>
      <c r="CQ92" s="208"/>
      <c r="CR92" s="208"/>
      <c r="CS92" s="208"/>
      <c r="CT92" s="208"/>
      <c r="CU92" s="208"/>
      <c r="CV92" s="208"/>
      <c r="CW92" s="208"/>
      <c r="CX92" s="208"/>
      <c r="CY92" s="208"/>
      <c r="CZ92" s="208"/>
      <c r="DA92" s="208"/>
      <c r="DB92" s="208"/>
      <c r="DC92" s="208"/>
      <c r="DD92" s="208"/>
      <c r="DE92" s="208"/>
      <c r="DF92" s="208"/>
      <c r="DG92" s="208"/>
      <c r="DH92" s="208"/>
      <c r="DI92" s="208"/>
      <c r="DJ92" s="208"/>
      <c r="DK92" s="208"/>
      <c r="DL92" s="208"/>
      <c r="DM92" s="208"/>
      <c r="DN92" s="208"/>
      <c r="DO92" s="208"/>
      <c r="DP92" s="208"/>
      <c r="DQ92" s="208"/>
      <c r="DR92" s="208"/>
      <c r="DS92" s="208"/>
      <c r="DT92" s="208"/>
      <c r="DU92" s="208"/>
      <c r="DV92" s="208"/>
      <c r="DW92" s="208"/>
      <c r="DX92" s="208"/>
      <c r="DY92" s="208"/>
      <c r="DZ92" s="208"/>
      <c r="EA92" s="208"/>
      <c r="EB92" s="208"/>
      <c r="EC92" s="208"/>
      <c r="ED92" s="208"/>
      <c r="EE92" s="208"/>
      <c r="EF92" s="208"/>
      <c r="EG92" s="208"/>
      <c r="EH92" s="208"/>
      <c r="EI92" s="208"/>
      <c r="EJ92" s="208"/>
      <c r="EK92" s="208"/>
      <c r="EL92" s="208"/>
      <c r="EM92" s="208"/>
      <c r="EN92" s="208"/>
      <c r="EO92" s="208"/>
      <c r="EP92" s="208"/>
      <c r="EQ92" s="208"/>
      <c r="ER92" s="208"/>
      <c r="ES92" s="208"/>
      <c r="ET92" s="208"/>
      <c r="EU92" s="208"/>
      <c r="EV92" s="208"/>
      <c r="EW92" s="208"/>
      <c r="EX92" s="208"/>
      <c r="EY92" s="208"/>
      <c r="EZ92" s="208"/>
      <c r="FA92" s="208"/>
      <c r="FB92" s="208"/>
      <c r="FC92" s="208"/>
      <c r="FD92" s="208"/>
      <c r="FE92" s="208"/>
      <c r="FF92" s="208"/>
      <c r="FG92" s="208"/>
      <c r="FH92" s="208"/>
      <c r="FI92" s="208"/>
      <c r="FJ92" s="208"/>
      <c r="FK92" s="208"/>
      <c r="FL92" s="208"/>
      <c r="FM92" s="208"/>
      <c r="FN92" s="208"/>
      <c r="FO92" s="208"/>
      <c r="FP92" s="208"/>
      <c r="FQ92" s="208"/>
      <c r="FR92" s="208"/>
      <c r="FS92" s="208"/>
      <c r="FT92" s="208"/>
      <c r="FU92" s="208"/>
      <c r="FV92" s="208"/>
      <c r="FW92" s="208"/>
      <c r="FX92" s="208"/>
      <c r="FY92" s="208"/>
      <c r="FZ92" s="208"/>
      <c r="GA92" s="208"/>
      <c r="GB92" s="208"/>
      <c r="GC92" s="208"/>
      <c r="GD92" s="208"/>
      <c r="GE92" s="208"/>
      <c r="GF92" s="208"/>
      <c r="GG92" s="208"/>
      <c r="GH92" s="208"/>
      <c r="GI92" s="208"/>
      <c r="GJ92" s="208"/>
      <c r="GK92" s="208"/>
      <c r="GL92" s="208"/>
      <c r="GM92" s="208"/>
      <c r="GN92" s="208"/>
      <c r="GO92" s="208"/>
      <c r="GP92" s="208"/>
      <c r="GQ92" s="208"/>
      <c r="GR92" s="208"/>
      <c r="GS92" s="208"/>
      <c r="GT92" s="208"/>
      <c r="GU92" s="208"/>
      <c r="GV92" s="208"/>
      <c r="GW92" s="208"/>
      <c r="GX92" s="208"/>
      <c r="GY92" s="208"/>
      <c r="GZ92" s="208"/>
      <c r="HA92" s="208"/>
      <c r="HB92" s="208"/>
      <c r="HC92" s="208"/>
      <c r="HD92" s="208"/>
      <c r="HE92" s="208"/>
      <c r="HF92" s="208"/>
      <c r="HG92" s="208"/>
      <c r="HH92" s="208"/>
      <c r="HI92" s="208"/>
      <c r="HJ92" s="208"/>
      <c r="HK92" s="208"/>
      <c r="HL92" s="208"/>
      <c r="HM92" s="208"/>
      <c r="HN92" s="208"/>
      <c r="HO92" s="208"/>
      <c r="HP92" s="208"/>
      <c r="HQ92" s="208"/>
      <c r="HR92" s="208"/>
      <c r="HS92" s="208"/>
      <c r="HT92" s="208"/>
      <c r="HU92" s="208"/>
      <c r="HV92" s="208"/>
      <c r="HW92" s="208"/>
      <c r="HX92" s="208"/>
      <c r="HY92" s="208"/>
      <c r="HZ92" s="208"/>
      <c r="IA92" s="208"/>
      <c r="IB92" s="208"/>
      <c r="IC92" s="208"/>
      <c r="ID92" s="208"/>
      <c r="IE92" s="208"/>
      <c r="IF92" s="208"/>
      <c r="IG92" s="208"/>
      <c r="IH92" s="208" t="str">
        <f>H92 &amp; " " &amp; IF(M92="","",TEXT(M92,"M/D-")) &amp; IF(N92="","",TEXT(N92,"M/D")) &amp; " "</f>
        <v xml:space="preserve">시스템오픈 6/13-6/14 </v>
      </c>
      <c r="II92" s="207" t="str">
        <f>TEXT(AB92,"#0.00%") &amp; " "</f>
        <v xml:space="preserve">0.00% </v>
      </c>
      <c r="IJ92" s="208"/>
      <c r="IK92" s="208"/>
    </row>
    <row r="93" spans="1:245">
      <c r="A93" s="159"/>
      <c r="B93" s="159"/>
      <c r="C93" s="159"/>
      <c r="D93" s="160"/>
      <c r="E93" s="161"/>
      <c r="F93" s="161"/>
      <c r="G93" s="161"/>
      <c r="H93" s="161"/>
      <c r="I93" s="161"/>
      <c r="J93" s="161"/>
      <c r="K93" s="161"/>
      <c r="L93" s="161"/>
      <c r="M93" s="162"/>
      <c r="N93" s="162"/>
      <c r="O93" s="161"/>
      <c r="P93" s="163"/>
      <c r="Q93" s="163"/>
      <c r="R93" s="164"/>
      <c r="S93" s="164"/>
      <c r="T93" s="162"/>
      <c r="U93" s="162"/>
      <c r="V93" s="165"/>
      <c r="W93" s="166"/>
      <c r="X93" s="167"/>
      <c r="Y93" s="161"/>
      <c r="Z93" s="168"/>
      <c r="AA93" s="169"/>
      <c r="AB93" s="170"/>
      <c r="AC93" s="171"/>
      <c r="AD93" s="171"/>
      <c r="AE93" s="171"/>
      <c r="AF93" s="171"/>
      <c r="AG93" s="171"/>
      <c r="AH93" s="171"/>
      <c r="AI93" s="171"/>
      <c r="AJ93" s="171"/>
      <c r="AK93" s="171"/>
      <c r="AL93" s="171"/>
      <c r="AM93" s="171"/>
      <c r="AN93" s="171"/>
      <c r="AO93" s="171"/>
      <c r="AP93" s="171"/>
      <c r="AQ93" s="171"/>
      <c r="AR93" s="171"/>
      <c r="AS93" s="171"/>
      <c r="AT93" s="171"/>
      <c r="AU93" s="171"/>
      <c r="AV93" s="171"/>
      <c r="AW93" s="171"/>
      <c r="AX93" s="171"/>
      <c r="AY93" s="171"/>
      <c r="AZ93" s="171"/>
      <c r="BA93" s="171"/>
      <c r="BB93" s="171"/>
      <c r="BC93" s="171"/>
      <c r="BD93" s="171"/>
      <c r="BE93" s="171"/>
      <c r="BF93" s="171"/>
      <c r="BG93" s="171"/>
      <c r="BH93" s="171"/>
      <c r="BI93" s="171"/>
      <c r="BJ93" s="171"/>
      <c r="BK93" s="171"/>
      <c r="BL93" s="171"/>
      <c r="BM93" s="171"/>
      <c r="BN93" s="171"/>
      <c r="BO93" s="171"/>
      <c r="BP93" s="171"/>
      <c r="BQ93" s="171"/>
      <c r="BR93" s="171"/>
      <c r="BS93" s="171"/>
      <c r="BT93" s="171"/>
      <c r="BU93" s="171"/>
      <c r="BV93" s="171"/>
      <c r="BW93" s="171"/>
      <c r="BX93" s="171"/>
      <c r="BY93" s="171"/>
      <c r="BZ93" s="171"/>
      <c r="CA93" s="171"/>
      <c r="CB93" s="171"/>
      <c r="CC93" s="171"/>
      <c r="CD93" s="171"/>
      <c r="CE93" s="171"/>
      <c r="CF93" s="171"/>
      <c r="CG93" s="171"/>
      <c r="CH93" s="171"/>
      <c r="CI93" s="171"/>
      <c r="CJ93" s="171"/>
      <c r="CK93" s="171"/>
      <c r="CL93" s="171"/>
      <c r="CM93" s="171"/>
      <c r="CN93" s="171"/>
      <c r="CO93" s="171"/>
      <c r="CP93" s="171"/>
      <c r="CQ93" s="171"/>
      <c r="CR93" s="171"/>
      <c r="CS93" s="171"/>
      <c r="CT93" s="171"/>
      <c r="CU93" s="171"/>
      <c r="CV93" s="171"/>
      <c r="CW93" s="171"/>
      <c r="CX93" s="171"/>
      <c r="CY93" s="171"/>
      <c r="CZ93" s="171"/>
      <c r="DA93" s="171"/>
      <c r="DB93" s="171"/>
      <c r="DC93" s="171"/>
      <c r="DD93" s="171"/>
      <c r="DE93" s="171"/>
      <c r="DF93" s="171"/>
      <c r="DG93" s="171"/>
      <c r="DH93" s="171"/>
      <c r="DI93" s="171"/>
      <c r="DJ93" s="171"/>
      <c r="DK93" s="171"/>
      <c r="DL93" s="171"/>
      <c r="DM93" s="171"/>
      <c r="DN93" s="171"/>
      <c r="DO93" s="171"/>
      <c r="DP93" s="171"/>
      <c r="DQ93" s="171"/>
      <c r="DR93" s="171"/>
      <c r="DS93" s="171"/>
      <c r="DT93" s="171"/>
      <c r="DU93" s="171"/>
      <c r="DV93" s="171"/>
      <c r="DW93" s="171"/>
      <c r="DX93" s="171"/>
      <c r="DY93" s="171"/>
      <c r="DZ93" s="171"/>
      <c r="EA93" s="171"/>
      <c r="EB93" s="171"/>
      <c r="EC93" s="171"/>
      <c r="ED93" s="171"/>
      <c r="EE93" s="171"/>
      <c r="EF93" s="171"/>
      <c r="EG93" s="171"/>
      <c r="EH93" s="171"/>
      <c r="EI93" s="171"/>
      <c r="EJ93" s="171"/>
      <c r="EK93" s="171"/>
      <c r="EL93" s="171"/>
      <c r="EM93" s="171"/>
      <c r="EN93" s="171"/>
      <c r="EO93" s="171"/>
      <c r="EP93" s="171"/>
      <c r="EQ93" s="171"/>
      <c r="ER93" s="171"/>
      <c r="ES93" s="171"/>
      <c r="ET93" s="171"/>
      <c r="EU93" s="171"/>
      <c r="EV93" s="171"/>
      <c r="EW93" s="171"/>
      <c r="EX93" s="171"/>
      <c r="EY93" s="171"/>
      <c r="EZ93" s="171"/>
      <c r="FA93" s="171"/>
      <c r="FB93" s="171"/>
      <c r="FC93" s="171"/>
      <c r="FD93" s="171"/>
      <c r="FE93" s="171"/>
      <c r="FF93" s="171"/>
      <c r="FG93" s="171"/>
      <c r="FH93" s="171"/>
      <c r="FI93" s="171"/>
      <c r="FJ93" s="171"/>
      <c r="FK93" s="171"/>
      <c r="FL93" s="171"/>
      <c r="FM93" s="171"/>
      <c r="FN93" s="171"/>
      <c r="FO93" s="171"/>
      <c r="FP93" s="171"/>
      <c r="FQ93" s="171"/>
      <c r="FR93" s="171"/>
      <c r="FS93" s="171"/>
      <c r="FT93" s="171"/>
      <c r="FU93" s="171"/>
      <c r="FV93" s="171"/>
      <c r="FW93" s="171"/>
      <c r="FX93" s="171"/>
      <c r="FY93" s="171"/>
      <c r="FZ93" s="171"/>
      <c r="GA93" s="171"/>
      <c r="GB93" s="171"/>
      <c r="GC93" s="171"/>
      <c r="GD93" s="171"/>
      <c r="GE93" s="171"/>
      <c r="GF93" s="171"/>
      <c r="GG93" s="171"/>
      <c r="GH93" s="171"/>
      <c r="GI93" s="171"/>
      <c r="GJ93" s="171"/>
      <c r="GK93" s="171"/>
      <c r="GL93" s="171"/>
      <c r="GM93" s="171"/>
      <c r="GN93" s="171"/>
      <c r="GO93" s="171"/>
      <c r="GP93" s="171"/>
      <c r="GQ93" s="171"/>
      <c r="GR93" s="171"/>
      <c r="GS93" s="171"/>
      <c r="GT93" s="171"/>
      <c r="GU93" s="171"/>
      <c r="GV93" s="171"/>
      <c r="GW93" s="171"/>
      <c r="GX93" s="171"/>
      <c r="GY93" s="171"/>
      <c r="GZ93" s="171"/>
      <c r="HA93" s="171"/>
      <c r="HB93" s="171"/>
      <c r="HC93" s="171"/>
      <c r="HD93" s="171"/>
      <c r="HE93" s="171"/>
      <c r="HF93" s="171"/>
      <c r="HG93" s="171"/>
      <c r="HH93" s="171"/>
      <c r="HI93" s="171"/>
      <c r="HJ93" s="171"/>
      <c r="HK93" s="171"/>
      <c r="HL93" s="171"/>
      <c r="HM93" s="171"/>
      <c r="HN93" s="171"/>
      <c r="HO93" s="171"/>
      <c r="HP93" s="171"/>
      <c r="HQ93" s="171"/>
      <c r="HR93" s="171"/>
      <c r="HS93" s="171"/>
      <c r="HT93" s="171"/>
      <c r="HU93" s="171"/>
      <c r="HV93" s="171"/>
      <c r="HW93" s="171"/>
      <c r="HX93" s="171"/>
      <c r="HY93" s="171"/>
      <c r="HZ93" s="171"/>
      <c r="IA93" s="171"/>
      <c r="IB93" s="171"/>
      <c r="IC93" s="171"/>
      <c r="ID93" s="171"/>
      <c r="IE93" s="171"/>
      <c r="IF93" s="171"/>
      <c r="IG93" s="171"/>
      <c r="IH93" s="171"/>
      <c r="II93" s="171"/>
      <c r="IJ93" s="171"/>
      <c r="IK93" s="171"/>
    </row>
    <row r="94" spans="1:245">
      <c r="A94" s="147"/>
      <c r="B94" s="147"/>
      <c r="C94" s="147"/>
      <c r="D94" s="157"/>
      <c r="E94" s="148"/>
      <c r="F94" s="148"/>
      <c r="G94" s="148"/>
      <c r="H94" s="148"/>
      <c r="I94" s="148"/>
      <c r="J94" s="148"/>
      <c r="K94" s="148"/>
      <c r="L94" s="148"/>
      <c r="M94" s="126"/>
      <c r="N94" s="126"/>
      <c r="O94" s="148"/>
      <c r="P94" s="149"/>
      <c r="Q94" s="149"/>
      <c r="R94" s="150"/>
      <c r="S94" s="150"/>
      <c r="T94" s="126"/>
      <c r="U94" s="126"/>
      <c r="V94" s="151"/>
      <c r="W94" s="152"/>
      <c r="X94" s="153"/>
      <c r="Y94" s="148"/>
      <c r="Z94" s="154"/>
      <c r="AA94" s="155"/>
      <c r="AB94" s="156"/>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47"/>
      <c r="B105" s="147"/>
      <c r="C105" s="147"/>
      <c r="D105" s="157"/>
      <c r="E105" s="148"/>
      <c r="F105" s="148"/>
      <c r="G105" s="148"/>
      <c r="H105" s="148"/>
      <c r="I105" s="148"/>
      <c r="J105" s="148"/>
      <c r="K105" s="148"/>
      <c r="L105" s="148"/>
      <c r="M105" s="126"/>
      <c r="N105" s="126"/>
      <c r="O105" s="148"/>
      <c r="P105" s="149"/>
      <c r="Q105" s="149"/>
      <c r="R105" s="150"/>
      <c r="S105" s="150"/>
      <c r="T105" s="126"/>
      <c r="U105" s="126"/>
      <c r="V105" s="151"/>
      <c r="W105" s="152"/>
      <c r="X105" s="153"/>
      <c r="Y105" s="148"/>
      <c r="Z105" s="154"/>
      <c r="AA105" s="155"/>
      <c r="AB105" s="156"/>
    </row>
    <row r="106" spans="1:28">
      <c r="A106" s="159"/>
      <c r="B106" s="159"/>
      <c r="C106" s="159"/>
      <c r="D106" s="160"/>
      <c r="E106" s="161"/>
      <c r="F106" s="161"/>
      <c r="G106" s="161"/>
      <c r="H106" s="161"/>
      <c r="I106" s="161"/>
      <c r="J106" s="161"/>
      <c r="K106" s="161"/>
      <c r="L106" s="161"/>
      <c r="M106" s="162"/>
      <c r="N106" s="162"/>
      <c r="O106" s="161"/>
      <c r="P106" s="163"/>
      <c r="Q106" s="163"/>
      <c r="R106" s="164"/>
      <c r="S106" s="164"/>
      <c r="T106" s="162"/>
      <c r="U106" s="162"/>
      <c r="V106" s="165"/>
      <c r="W106" s="166"/>
      <c r="X106" s="167"/>
      <c r="Y106" s="161"/>
      <c r="Z106" s="168"/>
      <c r="AA106" s="169"/>
      <c r="AB106" s="170"/>
    </row>
    <row r="107" spans="1:28">
      <c r="A107" s="147"/>
      <c r="B107" s="147"/>
      <c r="C107" s="147"/>
      <c r="D107" s="157"/>
      <c r="E107" s="148"/>
      <c r="F107" s="148"/>
      <c r="G107" s="148"/>
      <c r="H107" s="148"/>
      <c r="I107" s="148"/>
      <c r="J107" s="148"/>
      <c r="K107" s="148"/>
      <c r="L107" s="148"/>
      <c r="M107" s="126"/>
      <c r="N107" s="126"/>
      <c r="O107" s="148"/>
      <c r="P107" s="149"/>
      <c r="Q107" s="149"/>
      <c r="R107" s="150"/>
      <c r="S107" s="150"/>
      <c r="T107" s="126"/>
      <c r="U107" s="126"/>
      <c r="V107" s="151"/>
      <c r="W107" s="152"/>
      <c r="X107" s="153"/>
      <c r="Y107" s="148"/>
      <c r="Z107" s="154"/>
      <c r="AA107" s="155"/>
      <c r="AB107" s="156"/>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47"/>
      <c r="B132" s="147"/>
      <c r="C132" s="147"/>
      <c r="D132" s="157"/>
      <c r="E132" s="148"/>
      <c r="F132" s="148"/>
      <c r="G132" s="148"/>
      <c r="H132" s="148"/>
      <c r="I132" s="148"/>
      <c r="J132" s="148"/>
      <c r="K132" s="148"/>
      <c r="L132" s="148"/>
      <c r="M132" s="126"/>
      <c r="N132" s="126"/>
      <c r="O132" s="148"/>
      <c r="P132" s="149"/>
      <c r="Q132" s="149"/>
      <c r="R132" s="150"/>
      <c r="S132" s="150"/>
      <c r="T132" s="126"/>
      <c r="U132" s="126"/>
      <c r="V132" s="151"/>
      <c r="W132" s="152"/>
      <c r="X132" s="153"/>
      <c r="Y132" s="148"/>
      <c r="Z132" s="154"/>
      <c r="AA132" s="155"/>
      <c r="AB132" s="156"/>
    </row>
    <row r="133" spans="1:28">
      <c r="A133" s="159"/>
      <c r="B133" s="159"/>
      <c r="C133" s="159"/>
      <c r="D133" s="160"/>
      <c r="E133" s="161"/>
      <c r="F133" s="161"/>
      <c r="G133" s="161"/>
      <c r="H133" s="161"/>
      <c r="I133" s="161"/>
      <c r="J133" s="161"/>
      <c r="K133" s="161"/>
      <c r="L133" s="161"/>
      <c r="M133" s="162"/>
      <c r="N133" s="162"/>
      <c r="O133" s="161"/>
      <c r="P133" s="163"/>
      <c r="Q133" s="163"/>
      <c r="R133" s="164"/>
      <c r="S133" s="164"/>
      <c r="T133" s="162"/>
      <c r="U133" s="162"/>
      <c r="V133" s="165"/>
      <c r="W133" s="166"/>
      <c r="X133" s="167"/>
      <c r="Y133" s="161"/>
      <c r="Z133" s="168"/>
      <c r="AA133" s="169"/>
      <c r="AB133" s="170"/>
    </row>
    <row r="134" spans="1:28">
      <c r="A134" s="147"/>
      <c r="B134" s="147"/>
      <c r="C134" s="147"/>
      <c r="D134" s="157"/>
      <c r="E134" s="148"/>
      <c r="F134" s="148"/>
      <c r="G134" s="148"/>
      <c r="H134" s="148"/>
      <c r="I134" s="148"/>
      <c r="J134" s="148"/>
      <c r="K134" s="148"/>
      <c r="L134" s="148"/>
      <c r="M134" s="126"/>
      <c r="N134" s="126"/>
      <c r="O134" s="148"/>
      <c r="P134" s="149"/>
      <c r="Q134" s="149"/>
      <c r="R134" s="150"/>
      <c r="S134" s="150"/>
      <c r="T134" s="126"/>
      <c r="U134" s="126"/>
      <c r="V134" s="151"/>
      <c r="W134" s="152"/>
      <c r="X134" s="153"/>
      <c r="Y134" s="148"/>
      <c r="Z134" s="154"/>
      <c r="AA134" s="155"/>
      <c r="AB134" s="156"/>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47"/>
      <c r="B138" s="147"/>
      <c r="C138" s="147"/>
      <c r="D138" s="157"/>
      <c r="E138" s="148"/>
      <c r="F138" s="148"/>
      <c r="G138" s="148"/>
      <c r="H138" s="148"/>
      <c r="I138" s="148"/>
      <c r="J138" s="148"/>
      <c r="K138" s="148"/>
      <c r="L138" s="148"/>
      <c r="M138" s="126"/>
      <c r="N138" s="126"/>
      <c r="O138" s="148"/>
      <c r="P138" s="149"/>
      <c r="Q138" s="149"/>
      <c r="R138" s="150"/>
      <c r="S138" s="150"/>
      <c r="T138" s="126"/>
      <c r="U138" s="126"/>
      <c r="V138" s="151"/>
      <c r="W138" s="152"/>
      <c r="X138" s="153"/>
      <c r="Y138" s="148"/>
      <c r="Z138" s="154"/>
      <c r="AA138" s="155"/>
      <c r="AB138" s="156"/>
    </row>
    <row r="139" spans="1:28">
      <c r="A139" s="159"/>
      <c r="B139" s="159"/>
      <c r="C139" s="159"/>
      <c r="D139" s="160"/>
      <c r="E139" s="161"/>
      <c r="F139" s="161"/>
      <c r="G139" s="161"/>
      <c r="H139" s="161"/>
      <c r="I139" s="161"/>
      <c r="J139" s="161"/>
      <c r="K139" s="161"/>
      <c r="L139" s="161"/>
      <c r="M139" s="162"/>
      <c r="N139" s="162"/>
      <c r="O139" s="161"/>
      <c r="P139" s="163"/>
      <c r="Q139" s="163"/>
      <c r="R139" s="164"/>
      <c r="S139" s="164"/>
      <c r="T139" s="162"/>
      <c r="U139" s="162"/>
      <c r="V139" s="165"/>
      <c r="W139" s="166"/>
      <c r="X139" s="167"/>
      <c r="Y139" s="161"/>
      <c r="Z139" s="168"/>
      <c r="AA139" s="169"/>
      <c r="AB139" s="170"/>
    </row>
    <row r="140" spans="1:28">
      <c r="A140" s="147"/>
      <c r="B140" s="147"/>
      <c r="C140" s="147"/>
      <c r="D140" s="157"/>
      <c r="E140" s="148"/>
      <c r="F140" s="148"/>
      <c r="G140" s="148"/>
      <c r="H140" s="148"/>
      <c r="I140" s="148"/>
      <c r="J140" s="148"/>
      <c r="K140" s="148"/>
      <c r="L140" s="148"/>
      <c r="M140" s="126"/>
      <c r="N140" s="126"/>
      <c r="O140" s="148"/>
      <c r="P140" s="149"/>
      <c r="Q140" s="149"/>
      <c r="R140" s="150"/>
      <c r="S140" s="150"/>
      <c r="T140" s="126"/>
      <c r="U140" s="126"/>
      <c r="V140" s="151"/>
      <c r="W140" s="152"/>
      <c r="X140" s="153"/>
      <c r="Y140" s="148"/>
      <c r="Z140" s="154"/>
      <c r="AA140" s="155"/>
      <c r="AB140" s="156"/>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7"/>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8"/>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7"/>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47"/>
      <c r="B220" s="147"/>
      <c r="C220" s="147"/>
      <c r="D220" s="157"/>
      <c r="E220" s="148"/>
      <c r="F220" s="148"/>
      <c r="G220" s="148"/>
      <c r="H220" s="148"/>
      <c r="I220" s="148"/>
      <c r="J220" s="148"/>
      <c r="K220" s="148"/>
      <c r="L220" s="148"/>
      <c r="M220" s="126"/>
      <c r="N220" s="126"/>
      <c r="O220" s="148"/>
      <c r="P220" s="149"/>
      <c r="Q220" s="149"/>
      <c r="R220" s="150"/>
      <c r="S220" s="150"/>
      <c r="T220" s="126"/>
      <c r="U220" s="126"/>
      <c r="V220" s="151"/>
      <c r="W220" s="152"/>
      <c r="X220" s="153"/>
      <c r="Y220" s="148"/>
      <c r="Z220" s="154"/>
      <c r="AA220" s="155"/>
      <c r="AB220" s="156"/>
    </row>
    <row r="221" spans="1:28">
      <c r="A221" s="135"/>
      <c r="B221" s="135"/>
      <c r="C221" s="135"/>
      <c r="D221" s="136"/>
      <c r="E221" s="137"/>
      <c r="F221" s="137"/>
      <c r="G221" s="137"/>
      <c r="H221" s="137"/>
      <c r="I221" s="137"/>
      <c r="J221" s="137"/>
      <c r="K221" s="137"/>
      <c r="L221" s="137"/>
      <c r="M221" s="138"/>
      <c r="N221" s="138"/>
      <c r="O221" s="137"/>
      <c r="P221" s="139"/>
      <c r="Q221" s="139"/>
      <c r="R221" s="140"/>
      <c r="S221" s="140"/>
      <c r="T221" s="138"/>
      <c r="U221" s="138"/>
      <c r="V221" s="141"/>
      <c r="W221" s="142"/>
      <c r="X221" s="143"/>
      <c r="Y221" s="137"/>
      <c r="Z221" s="144"/>
      <c r="AA221" s="145"/>
      <c r="AB221" s="146"/>
    </row>
  </sheetData>
  <sheetProtection formatCells="0" formatColumns="0" formatRows="0" insertColumns="0" insertRows="0" insertHyperlinks="0" deleteColumns="0" deleteRows="0" sort="0" autoFilter="0" pivotTables="0"/>
  <customSheetViews>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3"/>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4"/>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5">
    <mergeCell ref="AC1:CA1"/>
    <mergeCell ref="EK3:EQ3"/>
    <mergeCell ref="ER3:EX3"/>
    <mergeCell ref="CN3:CT3"/>
    <mergeCell ref="CU3:DA3"/>
    <mergeCell ref="DB3:DH3"/>
    <mergeCell ref="DI3:DO3"/>
    <mergeCell ref="DP3:DV3"/>
    <mergeCell ref="AQ3:AW3"/>
    <mergeCell ref="AX3:BD3"/>
    <mergeCell ref="BE3:BK3"/>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D2:F2"/>
    <mergeCell ref="W3:W4"/>
    <mergeCell ref="O3:O4"/>
    <mergeCell ref="P3:P4"/>
    <mergeCell ref="Q3:Q4"/>
    <mergeCell ref="S3:S4"/>
    <mergeCell ref="T3:T4"/>
    <mergeCell ref="V3:V4"/>
    <mergeCell ref="L3:L4"/>
    <mergeCell ref="M3:M4"/>
    <mergeCell ref="N3:N4"/>
    <mergeCell ref="R3:R4"/>
    <mergeCell ref="U3:U4"/>
    <mergeCell ref="FF3:FL3"/>
    <mergeCell ref="FM3:FS3"/>
    <mergeCell ref="FT3:FZ3"/>
    <mergeCell ref="GA3:GG3"/>
    <mergeCell ref="BZ3:CF3"/>
    <mergeCell ref="EY3:FE3"/>
    <mergeCell ref="CG3:CM3"/>
    <mergeCell ref="DW3:EC3"/>
    <mergeCell ref="ED3:EJ3"/>
    <mergeCell ref="IE3:IK3"/>
    <mergeCell ref="GV3:HB3"/>
    <mergeCell ref="HC3:HI3"/>
    <mergeCell ref="HJ3:HP3"/>
    <mergeCell ref="HQ3:HW3"/>
    <mergeCell ref="HX3:ID3"/>
  </mergeCells>
  <phoneticPr fontId="1" type="noConversion"/>
  <conditionalFormatting sqref="AC5:IK92">
    <cfRule type="expression" dxfId="5" priority="6" stopIfTrue="1">
      <formula>COUNTIF(STD_CAL,AC$4)&gt;0</formula>
    </cfRule>
    <cfRule type="expression" dxfId="4" priority="5" stopIfTrue="1">
      <formula>AND(AC$4&gt;= $M5,AC$4&lt;=$N5)</formula>
    </cfRule>
    <cfRule type="expression" dxfId="3" priority="4">
      <formula>AND(AC$4&gt;= $M5,AC$4&lt;=$N5, $B5="G")</formula>
    </cfRule>
    <cfRule type="expression" dxfId="2" priority="3">
      <formula>AC$4=TODAY()</formula>
    </cfRule>
  </conditionalFormatting>
  <conditionalFormatting sqref="D5:AB92">
    <cfRule type="expression" dxfId="1" priority="1">
      <formula>($B5="G")</formula>
    </cfRule>
  </conditionalFormatting>
  <hyperlinks>
    <hyperlink ref="AC1:CA1" r:id="rId7" display="http://xlworks.net/"/>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8671875" defaultRowHeight="15"/>
  <cols>
    <col min="1" max="1" width="31.44140625" style="84" customWidth="1"/>
    <col min="2" max="2" width="10.44140625" style="82" bestFit="1" customWidth="1"/>
    <col min="3" max="3" width="8.77734375" style="85" customWidth="1"/>
    <col min="4" max="4" width="27.88671875" style="85" customWidth="1"/>
    <col min="5" max="6" width="12.5546875" style="85" customWidth="1"/>
    <col min="7" max="7" width="25.21875" style="85" customWidth="1"/>
    <col min="8" max="9" width="8.88671875" style="85"/>
    <col min="10" max="10" width="7.88671875" style="85" bestFit="1" customWidth="1"/>
    <col min="11" max="19" width="8.88671875" style="85"/>
    <col min="20" max="22" width="8.88671875" style="85" customWidth="1"/>
    <col min="23" max="23" width="8.88671875" style="85" hidden="1" customWidth="1"/>
    <col min="24" max="16384" width="8.88671875" style="85"/>
  </cols>
  <sheetData>
    <row r="1" spans="1:17" s="88" customFormat="1" ht="36.950000000000003" customHeight="1">
      <c r="A1" s="115" t="s">
        <v>1069</v>
      </c>
      <c r="B1" s="116"/>
      <c r="C1" s="116"/>
      <c r="D1" s="116"/>
      <c r="E1" s="116"/>
      <c r="F1" s="116"/>
      <c r="G1" s="116"/>
      <c r="H1" s="116"/>
      <c r="I1" s="116"/>
      <c r="J1" s="116"/>
      <c r="K1" s="116"/>
      <c r="L1" s="235"/>
      <c r="M1" s="236"/>
      <c r="N1" s="236"/>
      <c r="O1" s="87"/>
      <c r="P1" s="87"/>
      <c r="Q1" s="87"/>
    </row>
    <row r="2" spans="1:17" s="41" customFormat="1" ht="12.75">
      <c r="A2" s="124" t="s">
        <v>1017</v>
      </c>
      <c r="B2" s="40"/>
    </row>
    <row r="3" spans="1:17" s="41" customFormat="1" ht="12.75">
      <c r="A3" s="124" t="s">
        <v>1018</v>
      </c>
      <c r="B3" s="40"/>
    </row>
    <row r="4" spans="1:17" s="41" customFormat="1" ht="12.75">
      <c r="A4" s="237"/>
      <c r="B4" s="237"/>
      <c r="C4" s="42"/>
      <c r="D4" s="43"/>
      <c r="E4" s="43"/>
      <c r="F4" s="43"/>
    </row>
    <row r="5" spans="1:17" s="47" customFormat="1" ht="12.75">
      <c r="A5" s="44"/>
      <c r="B5" s="45"/>
      <c r="C5" s="46"/>
      <c r="D5" s="93"/>
      <c r="E5" s="94"/>
      <c r="F5" s="94"/>
      <c r="G5" s="94"/>
    </row>
    <row r="6" spans="1:17" s="47" customFormat="1" ht="12.75">
      <c r="A6" s="48" t="s">
        <v>1019</v>
      </c>
      <c r="B6" s="49">
        <v>771</v>
      </c>
      <c r="C6" s="47" t="s">
        <v>187</v>
      </c>
      <c r="D6" s="234" t="s">
        <v>1020</v>
      </c>
      <c r="E6" s="234"/>
      <c r="F6" s="234"/>
      <c r="G6" s="234"/>
    </row>
    <row r="7" spans="1:17" s="47" customFormat="1" ht="12.75">
      <c r="A7" s="50"/>
      <c r="B7" s="51"/>
      <c r="C7" s="52"/>
      <c r="D7" s="95"/>
      <c r="E7" s="95"/>
      <c r="F7" s="95"/>
      <c r="G7" s="95"/>
    </row>
    <row r="8" spans="1:17" s="47" customFormat="1" ht="12.75" customHeight="1">
      <c r="A8" s="53"/>
      <c r="B8" s="54"/>
      <c r="D8" s="96"/>
      <c r="E8" s="96"/>
      <c r="F8" s="96"/>
      <c r="G8" s="96"/>
      <c r="J8" s="55"/>
    </row>
    <row r="9" spans="1:17" s="47" customFormat="1" ht="12.75">
      <c r="A9" s="48" t="s">
        <v>1021</v>
      </c>
      <c r="B9" s="49">
        <v>499</v>
      </c>
      <c r="C9" s="47" t="s">
        <v>187</v>
      </c>
      <c r="D9" s="233" t="s">
        <v>1022</v>
      </c>
      <c r="E9" s="233"/>
      <c r="F9" s="233"/>
      <c r="G9" s="233"/>
    </row>
    <row r="10" spans="1:17" s="47" customFormat="1" ht="12.75">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3" t="s">
        <v>1080</v>
      </c>
      <c r="E12" s="233"/>
      <c r="F12" s="233"/>
      <c r="G12" s="233"/>
    </row>
    <row r="13" spans="1:17" s="61" customFormat="1" ht="12.75">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3" t="s">
        <v>1024</v>
      </c>
      <c r="E15" s="233"/>
      <c r="F15" s="233"/>
      <c r="G15" s="233"/>
    </row>
    <row r="16" spans="1:17" s="47" customFormat="1" ht="12.75">
      <c r="A16" s="59"/>
      <c r="B16" s="65"/>
      <c r="C16" s="66"/>
      <c r="D16" s="97"/>
      <c r="E16" s="97"/>
      <c r="F16" s="97"/>
      <c r="G16" s="97"/>
    </row>
    <row r="17" spans="1:7" s="61" customFormat="1" ht="12.75" customHeight="1">
      <c r="A17" s="67"/>
      <c r="B17" s="63"/>
      <c r="C17" s="64"/>
      <c r="D17" s="96"/>
      <c r="E17" s="96"/>
      <c r="F17" s="96"/>
      <c r="G17" s="96"/>
    </row>
    <row r="18" spans="1:7" s="47" customFormat="1" ht="12.75">
      <c r="A18" s="48" t="s">
        <v>1025</v>
      </c>
      <c r="B18" s="68">
        <v>0.64721141374837876</v>
      </c>
      <c r="D18" s="233" t="s">
        <v>1026</v>
      </c>
      <c r="E18" s="233"/>
      <c r="F18" s="233"/>
      <c r="G18" s="233"/>
    </row>
    <row r="19" spans="1:7" s="47" customFormat="1" ht="12.75">
      <c r="A19" s="69"/>
      <c r="B19" s="65"/>
      <c r="C19" s="66"/>
      <c r="D19" s="97"/>
      <c r="E19" s="97"/>
      <c r="F19" s="97"/>
      <c r="G19" s="97"/>
    </row>
    <row r="20" spans="1:7" s="47" customFormat="1" ht="12.75" customHeight="1">
      <c r="A20" s="70"/>
      <c r="B20" s="45"/>
      <c r="C20" s="46"/>
      <c r="D20" s="96"/>
      <c r="E20" s="96"/>
      <c r="F20" s="96"/>
      <c r="G20" s="96"/>
    </row>
    <row r="21" spans="1:7" s="47" customFormat="1" ht="12.75">
      <c r="A21" s="48" t="s">
        <v>1027</v>
      </c>
      <c r="B21" s="68">
        <v>0</v>
      </c>
      <c r="D21" s="233" t="s">
        <v>1028</v>
      </c>
      <c r="E21" s="233"/>
      <c r="F21" s="233"/>
      <c r="G21" s="233"/>
    </row>
    <row r="22" spans="1:7" s="47" customFormat="1" ht="12.75">
      <c r="A22" s="71"/>
      <c r="B22" s="72"/>
      <c r="C22" s="73"/>
      <c r="D22" s="97"/>
      <c r="E22" s="97"/>
      <c r="F22" s="97"/>
      <c r="G22" s="97"/>
    </row>
    <row r="23" spans="1:7" s="47" customFormat="1" ht="13.5" customHeight="1">
      <c r="A23" s="74"/>
      <c r="B23" s="75"/>
      <c r="C23" s="76"/>
      <c r="D23" s="98"/>
      <c r="E23" s="98"/>
      <c r="F23" s="98"/>
      <c r="G23" s="98"/>
    </row>
    <row r="24" spans="1:7" s="47" customFormat="1" ht="12.75">
      <c r="A24" s="48" t="s">
        <v>1029</v>
      </c>
      <c r="B24" s="77">
        <f>ACTUAL_RATE-PLANNED_RATE</f>
        <v>-0.64721141374837876</v>
      </c>
      <c r="D24" s="234" t="s">
        <v>1030</v>
      </c>
      <c r="E24" s="234"/>
      <c r="F24" s="234"/>
      <c r="G24" s="234"/>
    </row>
    <row r="25" spans="1:7" s="47" customFormat="1" ht="12.75">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18"/>
  <sheetViews>
    <sheetView showGridLines="0" zoomScale="90" zoomScaleNormal="90" workbookViewId="0">
      <pane ySplit="1" topLeftCell="A2" activePane="bottomLeft" state="frozen"/>
      <selection pane="bottomLeft"/>
    </sheetView>
  </sheetViews>
  <sheetFormatPr defaultRowHeight="15"/>
  <cols>
    <col min="1" max="1" width="1.77734375" style="181" customWidth="1"/>
    <col min="2" max="4" width="8.88671875" style="181"/>
    <col min="5" max="5" width="10.77734375" style="181" customWidth="1"/>
    <col min="6" max="16384" width="8.88671875" style="181"/>
  </cols>
  <sheetData>
    <row r="1" spans="2:6" ht="36.950000000000003" customHeight="1">
      <c r="B1" s="114" t="s">
        <v>1130</v>
      </c>
    </row>
    <row r="2" spans="2:6">
      <c r="B2" s="181" t="s">
        <v>1131</v>
      </c>
    </row>
    <row r="3" spans="2:6">
      <c r="B3" s="181" t="s">
        <v>1132</v>
      </c>
    </row>
    <row r="6" spans="2:6" ht="30">
      <c r="B6" s="113" t="s">
        <v>421</v>
      </c>
      <c r="C6" s="133" t="s">
        <v>369</v>
      </c>
      <c r="D6" s="133" t="s">
        <v>139</v>
      </c>
      <c r="E6" s="133" t="s">
        <v>1133</v>
      </c>
      <c r="F6" s="182" t="s">
        <v>407</v>
      </c>
    </row>
    <row r="7" spans="2:6">
      <c r="B7" s="177">
        <v>43460</v>
      </c>
      <c r="C7" s="177">
        <v>43463</v>
      </c>
      <c r="D7" s="178">
        <v>8</v>
      </c>
      <c r="E7" s="178">
        <f>D7</f>
        <v>8</v>
      </c>
      <c r="F7" s="210">
        <f t="shared" ref="F7:F17" si="0">E7/$D$18</f>
        <v>4.8192771084337352E-2</v>
      </c>
    </row>
    <row r="8" spans="2:6">
      <c r="B8" s="179">
        <v>43464</v>
      </c>
      <c r="C8" s="179">
        <v>43470</v>
      </c>
      <c r="D8" s="180">
        <v>24</v>
      </c>
      <c r="E8" s="180">
        <f>E7+D8</f>
        <v>32</v>
      </c>
      <c r="F8" s="211">
        <f t="shared" si="0"/>
        <v>0.19277108433734941</v>
      </c>
    </row>
    <row r="9" spans="2:6">
      <c r="B9" s="179">
        <v>43471</v>
      </c>
      <c r="C9" s="179">
        <v>43477</v>
      </c>
      <c r="D9" s="180">
        <v>28</v>
      </c>
      <c r="E9" s="180">
        <f t="shared" ref="E9:E17" si="1">E8+D9</f>
        <v>60</v>
      </c>
      <c r="F9" s="211">
        <f t="shared" si="0"/>
        <v>0.36144578313253012</v>
      </c>
    </row>
    <row r="10" spans="2:6">
      <c r="B10" s="179">
        <v>43478</v>
      </c>
      <c r="C10" s="179">
        <v>43484</v>
      </c>
      <c r="D10" s="180">
        <v>31</v>
      </c>
      <c r="E10" s="180">
        <f t="shared" si="1"/>
        <v>91</v>
      </c>
      <c r="F10" s="211">
        <f t="shared" si="0"/>
        <v>0.54819277108433739</v>
      </c>
    </row>
    <row r="11" spans="2:6">
      <c r="B11" s="179">
        <v>43485</v>
      </c>
      <c r="C11" s="179">
        <v>43491</v>
      </c>
      <c r="D11" s="180">
        <v>28</v>
      </c>
      <c r="E11" s="180">
        <f t="shared" si="1"/>
        <v>119</v>
      </c>
      <c r="F11" s="211">
        <f t="shared" si="0"/>
        <v>0.7168674698795181</v>
      </c>
    </row>
    <row r="12" spans="2:6">
      <c r="B12" s="179">
        <v>43492</v>
      </c>
      <c r="C12" s="179">
        <v>43498</v>
      </c>
      <c r="D12" s="180">
        <v>23.000000000000007</v>
      </c>
      <c r="E12" s="180">
        <f t="shared" si="1"/>
        <v>142</v>
      </c>
      <c r="F12" s="211">
        <f t="shared" si="0"/>
        <v>0.85542168674698793</v>
      </c>
    </row>
    <row r="13" spans="2:6">
      <c r="B13" s="179">
        <v>43499</v>
      </c>
      <c r="C13" s="179">
        <v>43505</v>
      </c>
      <c r="D13" s="180">
        <v>5.0000000000000009</v>
      </c>
      <c r="E13" s="180">
        <f t="shared" si="1"/>
        <v>147</v>
      </c>
      <c r="F13" s="211">
        <f t="shared" si="0"/>
        <v>0.88554216867469882</v>
      </c>
    </row>
    <row r="14" spans="2:6">
      <c r="B14" s="179">
        <v>43513</v>
      </c>
      <c r="C14" s="179">
        <v>43519</v>
      </c>
      <c r="D14" s="180">
        <v>3</v>
      </c>
      <c r="E14" s="180">
        <f t="shared" si="1"/>
        <v>150</v>
      </c>
      <c r="F14" s="211">
        <f t="shared" si="0"/>
        <v>0.90361445783132532</v>
      </c>
    </row>
    <row r="15" spans="2:6">
      <c r="B15" s="179">
        <v>43541</v>
      </c>
      <c r="C15" s="179">
        <v>43547</v>
      </c>
      <c r="D15" s="180">
        <v>3</v>
      </c>
      <c r="E15" s="180">
        <f t="shared" si="1"/>
        <v>153</v>
      </c>
      <c r="F15" s="211">
        <f t="shared" si="0"/>
        <v>0.92168674698795183</v>
      </c>
    </row>
    <row r="16" spans="2:6">
      <c r="B16" s="179">
        <v>43576</v>
      </c>
      <c r="C16" s="179">
        <v>43582</v>
      </c>
      <c r="D16" s="180">
        <v>8</v>
      </c>
      <c r="E16" s="180">
        <f t="shared" si="1"/>
        <v>161</v>
      </c>
      <c r="F16" s="211">
        <f t="shared" si="0"/>
        <v>0.96987951807228912</v>
      </c>
    </row>
    <row r="17" spans="2:6">
      <c r="B17" s="179">
        <v>43583</v>
      </c>
      <c r="C17" s="179">
        <v>43589</v>
      </c>
      <c r="D17" s="180">
        <v>5</v>
      </c>
      <c r="E17" s="180">
        <f t="shared" si="1"/>
        <v>166</v>
      </c>
      <c r="F17" s="211">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8671875" defaultRowHeight="15"/>
  <cols>
    <col min="1" max="1" width="28.109375" style="117" customWidth="1"/>
    <col min="2" max="2" width="12.88671875" style="117" customWidth="1"/>
    <col min="3" max="3" width="6.77734375" style="117" customWidth="1"/>
    <col min="4" max="4" width="19.109375" style="117" customWidth="1"/>
    <col min="5" max="5" width="12.5546875" style="117" customWidth="1"/>
    <col min="6" max="6" width="8.88671875" style="117"/>
    <col min="7" max="7" width="21.5546875" style="117" customWidth="1"/>
    <col min="8" max="8" width="16.33203125" style="117" bestFit="1" customWidth="1"/>
    <col min="9" max="9" width="9.88671875" style="117" bestFit="1" customWidth="1"/>
    <col min="10" max="10" width="24.33203125" style="117" bestFit="1" customWidth="1"/>
    <col min="11" max="19" width="8.88671875" style="117"/>
    <col min="20" max="23" width="8.88671875" style="117" customWidth="1"/>
    <col min="24" max="16384" width="8.88671875" style="117"/>
  </cols>
  <sheetData>
    <row r="1" spans="1:9" ht="36.950000000000003" customHeight="1">
      <c r="A1" s="115" t="s">
        <v>1033</v>
      </c>
      <c r="B1" s="115"/>
      <c r="C1" s="115"/>
      <c r="D1" s="115"/>
      <c r="E1" s="115"/>
      <c r="F1" s="115"/>
      <c r="G1" s="115"/>
      <c r="H1" s="115"/>
    </row>
    <row r="2" spans="1:9" s="118" customFormat="1" ht="78.75" customHeight="1">
      <c r="A2" s="239" t="s">
        <v>1034</v>
      </c>
      <c r="B2" s="239"/>
      <c r="C2" s="239"/>
      <c r="D2" s="239"/>
      <c r="E2" s="239"/>
      <c r="F2" s="239"/>
      <c r="G2" s="239"/>
      <c r="H2" s="239"/>
    </row>
    <row r="3" spans="1:9" s="118" customFormat="1" ht="24.75" customHeight="1">
      <c r="A3" s="238" t="s">
        <v>23</v>
      </c>
      <c r="B3" s="238"/>
      <c r="D3" s="238" t="s">
        <v>1035</v>
      </c>
      <c r="E3" s="238"/>
      <c r="G3" s="238" t="s">
        <v>1036</v>
      </c>
      <c r="H3" s="238"/>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75">
      <c r="A19" s="120"/>
      <c r="B19" s="121"/>
      <c r="D19" s="120"/>
      <c r="E19" s="121"/>
      <c r="F19" s="117" t="str">
        <f t="shared" si="0"/>
        <v/>
      </c>
      <c r="G19" s="120"/>
      <c r="H19" s="121"/>
      <c r="I19" s="117" t="str">
        <f t="shared" si="1"/>
        <v/>
      </c>
      <c r="J19" s="122"/>
    </row>
    <row r="20" spans="1:10" ht="15.75">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B810681-CC81-4141-9F16-24B3FD4F0FB8}"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0A64F8D9-59E4-4471-A54B-AB6085820F8B}"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84"/>
  <sheetViews>
    <sheetView zoomScale="85" zoomScaleNormal="85" workbookViewId="0">
      <selection activeCell="F11" sqref="F11"/>
    </sheetView>
  </sheetViews>
  <sheetFormatPr defaultColWidth="8.6640625" defaultRowHeight="14.25"/>
  <cols>
    <col min="1" max="1" width="8.6640625" style="110"/>
    <col min="2" max="2" width="8.6640625" style="109"/>
    <col min="3" max="4" width="8.6640625" style="108"/>
    <col min="5" max="5" width="8.6640625" style="109"/>
    <col min="6" max="16384" width="8.664062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1082</v>
      </c>
      <c r="D2" s="108">
        <v>43460</v>
      </c>
      <c r="E2" s="112">
        <v>43461</v>
      </c>
      <c r="F2" s="108">
        <v>43460</v>
      </c>
      <c r="G2" s="108">
        <v>43463</v>
      </c>
      <c r="H2" s="106">
        <v>2</v>
      </c>
    </row>
    <row r="3" spans="1:8">
      <c r="A3" s="110" t="s">
        <v>958</v>
      </c>
      <c r="B3" s="109" t="s">
        <v>829</v>
      </c>
      <c r="C3" s="108" t="s">
        <v>1127</v>
      </c>
      <c r="D3" s="108">
        <v>43461</v>
      </c>
      <c r="E3" s="112">
        <v>43479</v>
      </c>
      <c r="F3" s="108">
        <v>43460</v>
      </c>
      <c r="G3" s="108">
        <v>43463</v>
      </c>
      <c r="H3" s="106">
        <v>0.75</v>
      </c>
    </row>
    <row r="4" spans="1:8">
      <c r="A4" s="110" t="s">
        <v>958</v>
      </c>
      <c r="B4" s="109" t="s">
        <v>829</v>
      </c>
      <c r="C4" s="108" t="s">
        <v>1084</v>
      </c>
      <c r="D4" s="108">
        <v>43461</v>
      </c>
      <c r="E4" s="112">
        <v>43479</v>
      </c>
      <c r="F4" s="108">
        <v>43460</v>
      </c>
      <c r="G4" s="108">
        <v>43463</v>
      </c>
      <c r="H4" s="106">
        <v>0.75</v>
      </c>
    </row>
    <row r="5" spans="1:8">
      <c r="A5" s="110" t="s">
        <v>958</v>
      </c>
      <c r="B5" s="109" t="s">
        <v>829</v>
      </c>
      <c r="C5" s="108" t="s">
        <v>1128</v>
      </c>
      <c r="D5" s="108">
        <v>43461</v>
      </c>
      <c r="E5" s="112">
        <v>43479</v>
      </c>
      <c r="F5" s="108">
        <v>43460</v>
      </c>
      <c r="G5" s="108">
        <v>43463</v>
      </c>
      <c r="H5" s="106">
        <v>0.75</v>
      </c>
    </row>
    <row r="6" spans="1:8">
      <c r="A6" s="110" t="s">
        <v>958</v>
      </c>
      <c r="B6" s="109" t="s">
        <v>829</v>
      </c>
      <c r="C6" s="108" t="s">
        <v>1129</v>
      </c>
      <c r="D6" s="108">
        <v>43461</v>
      </c>
      <c r="E6" s="112">
        <v>43479</v>
      </c>
      <c r="F6" s="108">
        <v>43460</v>
      </c>
      <c r="G6" s="108">
        <v>43463</v>
      </c>
      <c r="H6" s="106">
        <v>0.75</v>
      </c>
    </row>
    <row r="7" spans="1:8">
      <c r="A7" s="110" t="s">
        <v>958</v>
      </c>
      <c r="B7" s="109" t="s">
        <v>829</v>
      </c>
      <c r="C7" s="108" t="s">
        <v>1127</v>
      </c>
      <c r="D7" s="108">
        <v>43461</v>
      </c>
      <c r="E7" s="112">
        <v>43479</v>
      </c>
      <c r="F7" s="108">
        <v>43464</v>
      </c>
      <c r="G7" s="108">
        <v>43470</v>
      </c>
      <c r="H7" s="106">
        <v>1.75</v>
      </c>
    </row>
    <row r="8" spans="1:8">
      <c r="A8" s="110" t="s">
        <v>958</v>
      </c>
      <c r="B8" s="109" t="s">
        <v>829</v>
      </c>
      <c r="C8" s="108" t="s">
        <v>1084</v>
      </c>
      <c r="D8" s="108">
        <v>43461</v>
      </c>
      <c r="E8" s="112">
        <v>43479</v>
      </c>
      <c r="F8" s="108">
        <v>43464</v>
      </c>
      <c r="G8" s="108">
        <v>43470</v>
      </c>
      <c r="H8" s="106">
        <v>1.75</v>
      </c>
    </row>
    <row r="9" spans="1:8">
      <c r="A9" s="110" t="s">
        <v>958</v>
      </c>
      <c r="B9" s="109" t="s">
        <v>829</v>
      </c>
      <c r="C9" s="108" t="s">
        <v>1128</v>
      </c>
      <c r="D9" s="108">
        <v>43461</v>
      </c>
      <c r="E9" s="112">
        <v>43479</v>
      </c>
      <c r="F9" s="108">
        <v>43464</v>
      </c>
      <c r="G9" s="108">
        <v>43470</v>
      </c>
      <c r="H9" s="106">
        <v>1.75</v>
      </c>
    </row>
    <row r="10" spans="1:8">
      <c r="A10" s="110" t="s">
        <v>958</v>
      </c>
      <c r="B10" s="109" t="s">
        <v>829</v>
      </c>
      <c r="C10" s="108" t="s">
        <v>1129</v>
      </c>
      <c r="D10" s="108">
        <v>43461</v>
      </c>
      <c r="E10" s="112">
        <v>43479</v>
      </c>
      <c r="F10" s="108">
        <v>43464</v>
      </c>
      <c r="G10" s="108">
        <v>43470</v>
      </c>
      <c r="H10" s="106">
        <v>1.75</v>
      </c>
    </row>
    <row r="11" spans="1:8">
      <c r="A11" s="110" t="s">
        <v>958</v>
      </c>
      <c r="B11" s="109" t="s">
        <v>829</v>
      </c>
      <c r="C11" s="108" t="s">
        <v>1127</v>
      </c>
      <c r="D11" s="108">
        <v>43461</v>
      </c>
      <c r="E11" s="112">
        <v>43479</v>
      </c>
      <c r="F11" s="108">
        <v>43471</v>
      </c>
      <c r="G11" s="108">
        <v>43477</v>
      </c>
      <c r="H11" s="106">
        <v>1.75</v>
      </c>
    </row>
    <row r="12" spans="1:8">
      <c r="A12" s="110" t="s">
        <v>958</v>
      </c>
      <c r="B12" s="109" t="s">
        <v>829</v>
      </c>
      <c r="C12" s="108" t="s">
        <v>1084</v>
      </c>
      <c r="D12" s="108">
        <v>43461</v>
      </c>
      <c r="E12" s="112">
        <v>43479</v>
      </c>
      <c r="F12" s="108">
        <v>43471</v>
      </c>
      <c r="G12" s="108">
        <v>43477</v>
      </c>
      <c r="H12" s="106">
        <v>1.75</v>
      </c>
    </row>
    <row r="13" spans="1:8">
      <c r="A13" s="110" t="s">
        <v>958</v>
      </c>
      <c r="B13" s="109" t="s">
        <v>829</v>
      </c>
      <c r="C13" s="108" t="s">
        <v>1128</v>
      </c>
      <c r="D13" s="108">
        <v>43461</v>
      </c>
      <c r="E13" s="112">
        <v>43479</v>
      </c>
      <c r="F13" s="108">
        <v>43471</v>
      </c>
      <c r="G13" s="108">
        <v>43477</v>
      </c>
      <c r="H13" s="106">
        <v>1.75</v>
      </c>
    </row>
    <row r="14" spans="1:8">
      <c r="A14" s="110" t="s">
        <v>958</v>
      </c>
      <c r="B14" s="109" t="s">
        <v>829</v>
      </c>
      <c r="C14" s="108" t="s">
        <v>1129</v>
      </c>
      <c r="D14" s="108">
        <v>43461</v>
      </c>
      <c r="E14" s="112">
        <v>43479</v>
      </c>
      <c r="F14" s="108">
        <v>43471</v>
      </c>
      <c r="G14" s="108">
        <v>43477</v>
      </c>
      <c r="H14" s="106">
        <v>1.75</v>
      </c>
    </row>
    <row r="15" spans="1:8">
      <c r="A15" s="110" t="s">
        <v>958</v>
      </c>
      <c r="B15" s="109" t="s">
        <v>829</v>
      </c>
      <c r="C15" s="108" t="s">
        <v>1127</v>
      </c>
      <c r="D15" s="108">
        <v>43461</v>
      </c>
      <c r="E15" s="112">
        <v>43479</v>
      </c>
      <c r="F15" s="108">
        <v>43478</v>
      </c>
      <c r="G15" s="108">
        <v>43484</v>
      </c>
      <c r="H15" s="106">
        <v>0.5</v>
      </c>
    </row>
    <row r="16" spans="1:8">
      <c r="A16" s="110" t="s">
        <v>958</v>
      </c>
      <c r="B16" s="109" t="s">
        <v>829</v>
      </c>
      <c r="C16" s="108" t="s">
        <v>1084</v>
      </c>
      <c r="D16" s="108">
        <v>43461</v>
      </c>
      <c r="E16" s="112">
        <v>43479</v>
      </c>
      <c r="F16" s="108">
        <v>43478</v>
      </c>
      <c r="G16" s="108">
        <v>43484</v>
      </c>
      <c r="H16" s="106">
        <v>0.5</v>
      </c>
    </row>
    <row r="17" spans="1:8">
      <c r="A17" s="110" t="s">
        <v>958</v>
      </c>
      <c r="B17" s="109" t="s">
        <v>829</v>
      </c>
      <c r="C17" s="108" t="s">
        <v>1128</v>
      </c>
      <c r="D17" s="108">
        <v>43461</v>
      </c>
      <c r="E17" s="112">
        <v>43479</v>
      </c>
      <c r="F17" s="108">
        <v>43478</v>
      </c>
      <c r="G17" s="108">
        <v>43484</v>
      </c>
      <c r="H17" s="106">
        <v>0.5</v>
      </c>
    </row>
    <row r="18" spans="1:8">
      <c r="A18" s="110" t="s">
        <v>958</v>
      </c>
      <c r="B18" s="109" t="s">
        <v>829</v>
      </c>
      <c r="C18" s="108" t="s">
        <v>1129</v>
      </c>
      <c r="D18" s="108">
        <v>43461</v>
      </c>
      <c r="E18" s="112">
        <v>43479</v>
      </c>
      <c r="F18" s="108">
        <v>43478</v>
      </c>
      <c r="G18" s="108">
        <v>43484</v>
      </c>
      <c r="H18" s="106">
        <v>0.5</v>
      </c>
    </row>
    <row r="19" spans="1:8">
      <c r="A19" s="110" t="s">
        <v>959</v>
      </c>
      <c r="B19" s="109" t="s">
        <v>827</v>
      </c>
      <c r="C19" s="108" t="s">
        <v>1082</v>
      </c>
      <c r="D19" s="108">
        <v>43479</v>
      </c>
      <c r="E19" s="112">
        <v>43480</v>
      </c>
      <c r="F19" s="108">
        <v>43478</v>
      </c>
      <c r="G19" s="108">
        <v>43484</v>
      </c>
      <c r="H19" s="106">
        <v>2</v>
      </c>
    </row>
    <row r="20" spans="1:8">
      <c r="A20" s="110" t="s">
        <v>960</v>
      </c>
      <c r="B20" s="109" t="s">
        <v>924</v>
      </c>
      <c r="C20" s="108" t="s">
        <v>1127</v>
      </c>
      <c r="D20" s="108">
        <v>43516</v>
      </c>
      <c r="E20" s="112">
        <v>43518</v>
      </c>
      <c r="F20" s="108">
        <v>43513</v>
      </c>
      <c r="G20" s="108">
        <v>43519</v>
      </c>
      <c r="H20" s="106">
        <v>0.75</v>
      </c>
    </row>
    <row r="21" spans="1:8">
      <c r="A21" s="110" t="s">
        <v>960</v>
      </c>
      <c r="B21" s="109" t="s">
        <v>924</v>
      </c>
      <c r="C21" s="108" t="s">
        <v>1084</v>
      </c>
      <c r="D21" s="108">
        <v>43516</v>
      </c>
      <c r="E21" s="112">
        <v>43518</v>
      </c>
      <c r="F21" s="108">
        <v>43513</v>
      </c>
      <c r="G21" s="108">
        <v>43519</v>
      </c>
      <c r="H21" s="106">
        <v>0.75</v>
      </c>
    </row>
    <row r="22" spans="1:8">
      <c r="A22" s="110" t="s">
        <v>960</v>
      </c>
      <c r="B22" s="109" t="s">
        <v>924</v>
      </c>
      <c r="C22" s="108" t="s">
        <v>1128</v>
      </c>
      <c r="D22" s="108">
        <v>43516</v>
      </c>
      <c r="E22" s="112">
        <v>43518</v>
      </c>
      <c r="F22" s="108">
        <v>43513</v>
      </c>
      <c r="G22" s="108">
        <v>43519</v>
      </c>
      <c r="H22" s="106">
        <v>0.75</v>
      </c>
    </row>
    <row r="23" spans="1:8">
      <c r="A23" s="110" t="s">
        <v>960</v>
      </c>
      <c r="B23" s="109" t="s">
        <v>924</v>
      </c>
      <c r="C23" s="108" t="s">
        <v>1129</v>
      </c>
      <c r="D23" s="108">
        <v>43516</v>
      </c>
      <c r="E23" s="112">
        <v>43518</v>
      </c>
      <c r="F23" s="108">
        <v>43513</v>
      </c>
      <c r="G23" s="108">
        <v>43519</v>
      </c>
      <c r="H23" s="106">
        <v>0.75</v>
      </c>
    </row>
    <row r="24" spans="1:8">
      <c r="A24" s="110" t="s">
        <v>961</v>
      </c>
      <c r="B24" s="109" t="s">
        <v>925</v>
      </c>
      <c r="C24" s="108" t="s">
        <v>1127</v>
      </c>
      <c r="D24" s="108">
        <v>43577</v>
      </c>
      <c r="E24" s="112">
        <v>43579</v>
      </c>
      <c r="F24" s="108">
        <v>43576</v>
      </c>
      <c r="G24" s="108">
        <v>43582</v>
      </c>
      <c r="H24" s="106">
        <v>0.75</v>
      </c>
    </row>
    <row r="25" spans="1:8">
      <c r="A25" s="110" t="s">
        <v>961</v>
      </c>
      <c r="B25" s="109" t="s">
        <v>925</v>
      </c>
      <c r="C25" s="108" t="s">
        <v>1084</v>
      </c>
      <c r="D25" s="108">
        <v>43577</v>
      </c>
      <c r="E25" s="112">
        <v>43579</v>
      </c>
      <c r="F25" s="108">
        <v>43576</v>
      </c>
      <c r="G25" s="108">
        <v>43582</v>
      </c>
      <c r="H25" s="106">
        <v>0.75</v>
      </c>
    </row>
    <row r="26" spans="1:8">
      <c r="A26" s="110" t="s">
        <v>961</v>
      </c>
      <c r="B26" s="109" t="s">
        <v>925</v>
      </c>
      <c r="C26" s="108" t="s">
        <v>1128</v>
      </c>
      <c r="D26" s="108">
        <v>43577</v>
      </c>
      <c r="E26" s="112">
        <v>43579</v>
      </c>
      <c r="F26" s="108">
        <v>43576</v>
      </c>
      <c r="G26" s="108">
        <v>43582</v>
      </c>
      <c r="H26" s="106">
        <v>0.75</v>
      </c>
    </row>
    <row r="27" spans="1:8">
      <c r="A27" s="110" t="s">
        <v>961</v>
      </c>
      <c r="B27" s="109" t="s">
        <v>925</v>
      </c>
      <c r="C27" s="108" t="s">
        <v>1129</v>
      </c>
      <c r="D27" s="108">
        <v>43577</v>
      </c>
      <c r="E27" s="112">
        <v>43579</v>
      </c>
      <c r="F27" s="108">
        <v>43576</v>
      </c>
      <c r="G27" s="108">
        <v>43582</v>
      </c>
      <c r="H27" s="106">
        <v>0.75</v>
      </c>
    </row>
    <row r="28" spans="1:8">
      <c r="A28" s="110" t="s">
        <v>962</v>
      </c>
      <c r="B28" s="109" t="s">
        <v>926</v>
      </c>
      <c r="C28" s="108" t="s">
        <v>1127</v>
      </c>
      <c r="D28" s="108">
        <v>43544</v>
      </c>
      <c r="E28" s="112">
        <v>43546</v>
      </c>
      <c r="F28" s="108">
        <v>43541</v>
      </c>
      <c r="G28" s="108">
        <v>43547</v>
      </c>
      <c r="H28" s="106">
        <v>0.75</v>
      </c>
    </row>
    <row r="29" spans="1:8">
      <c r="A29" s="110" t="s">
        <v>962</v>
      </c>
      <c r="B29" s="109" t="s">
        <v>926</v>
      </c>
      <c r="C29" s="108" t="s">
        <v>1084</v>
      </c>
      <c r="D29" s="108">
        <v>43544</v>
      </c>
      <c r="E29" s="112">
        <v>43546</v>
      </c>
      <c r="F29" s="108">
        <v>43541</v>
      </c>
      <c r="G29" s="108">
        <v>43547</v>
      </c>
      <c r="H29" s="106">
        <v>0.75</v>
      </c>
    </row>
    <row r="30" spans="1:8">
      <c r="A30" s="110" t="s">
        <v>962</v>
      </c>
      <c r="B30" s="109" t="s">
        <v>926</v>
      </c>
      <c r="C30" s="108" t="s">
        <v>1128</v>
      </c>
      <c r="D30" s="108">
        <v>43544</v>
      </c>
      <c r="E30" s="112">
        <v>43546</v>
      </c>
      <c r="F30" s="108">
        <v>43541</v>
      </c>
      <c r="G30" s="108">
        <v>43547</v>
      </c>
      <c r="H30" s="106">
        <v>0.75</v>
      </c>
    </row>
    <row r="31" spans="1:8">
      <c r="A31" s="110" t="s">
        <v>962</v>
      </c>
      <c r="B31" s="109" t="s">
        <v>926</v>
      </c>
      <c r="C31" s="108" t="s">
        <v>1129</v>
      </c>
      <c r="D31" s="108">
        <v>43544</v>
      </c>
      <c r="E31" s="112">
        <v>43546</v>
      </c>
      <c r="F31" s="108">
        <v>43541</v>
      </c>
      <c r="G31" s="108">
        <v>43547</v>
      </c>
      <c r="H31" s="106">
        <v>0.75</v>
      </c>
    </row>
    <row r="32" spans="1:8">
      <c r="A32" s="110" t="s">
        <v>963</v>
      </c>
      <c r="B32" s="109" t="s">
        <v>928</v>
      </c>
      <c r="C32" s="108" t="s">
        <v>1082</v>
      </c>
      <c r="D32" s="108">
        <v>43579</v>
      </c>
      <c r="E32" s="112">
        <v>43582</v>
      </c>
      <c r="F32" s="108">
        <v>43576</v>
      </c>
      <c r="G32" s="108">
        <v>43582</v>
      </c>
      <c r="H32" s="106">
        <v>4</v>
      </c>
    </row>
    <row r="33" spans="1:8">
      <c r="A33" s="110" t="s">
        <v>964</v>
      </c>
      <c r="B33" s="109" t="s">
        <v>929</v>
      </c>
      <c r="C33" s="108" t="s">
        <v>1082</v>
      </c>
      <c r="D33" s="108">
        <v>43586</v>
      </c>
      <c r="E33" s="112">
        <v>43586</v>
      </c>
      <c r="F33" s="108">
        <v>43583</v>
      </c>
      <c r="G33" s="108">
        <v>43589</v>
      </c>
      <c r="H33" s="106">
        <v>1</v>
      </c>
    </row>
    <row r="34" spans="1:8">
      <c r="A34" s="110" t="s">
        <v>965</v>
      </c>
      <c r="B34" s="109" t="s">
        <v>930</v>
      </c>
      <c r="C34" s="108" t="s">
        <v>1082</v>
      </c>
      <c r="D34" s="108">
        <v>43582</v>
      </c>
      <c r="E34" s="112">
        <v>43586</v>
      </c>
      <c r="F34" s="108">
        <v>43576</v>
      </c>
      <c r="G34" s="108">
        <v>43582</v>
      </c>
      <c r="H34" s="106">
        <v>1</v>
      </c>
    </row>
    <row r="35" spans="1:8">
      <c r="A35" s="110" t="s">
        <v>965</v>
      </c>
      <c r="B35" s="109" t="s">
        <v>930</v>
      </c>
      <c r="C35" s="108" t="s">
        <v>1082</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1128</v>
      </c>
      <c r="D54" s="108">
        <v>43480</v>
      </c>
      <c r="E54" s="112">
        <v>43496</v>
      </c>
      <c r="F54" s="108">
        <v>43478</v>
      </c>
      <c r="G54" s="108">
        <v>43484</v>
      </c>
      <c r="H54" s="106">
        <v>2.5</v>
      </c>
    </row>
    <row r="55" spans="1:8">
      <c r="A55" s="110" t="s">
        <v>969</v>
      </c>
      <c r="B55" s="109" t="s">
        <v>937</v>
      </c>
      <c r="C55" s="108" t="s">
        <v>1129</v>
      </c>
      <c r="D55" s="108">
        <v>43480</v>
      </c>
      <c r="E55" s="112">
        <v>43496</v>
      </c>
      <c r="F55" s="108">
        <v>43478</v>
      </c>
      <c r="G55" s="108">
        <v>43484</v>
      </c>
      <c r="H55" s="106">
        <v>2.5</v>
      </c>
    </row>
    <row r="56" spans="1:8">
      <c r="A56" s="110" t="s">
        <v>969</v>
      </c>
      <c r="B56" s="109" t="s">
        <v>937</v>
      </c>
      <c r="C56" s="108" t="s">
        <v>1128</v>
      </c>
      <c r="D56" s="108">
        <v>43480</v>
      </c>
      <c r="E56" s="112">
        <v>43496</v>
      </c>
      <c r="F56" s="108">
        <v>43485</v>
      </c>
      <c r="G56" s="108">
        <v>43491</v>
      </c>
      <c r="H56" s="106">
        <v>3.5</v>
      </c>
    </row>
    <row r="57" spans="1:8">
      <c r="A57" s="110" t="s">
        <v>969</v>
      </c>
      <c r="B57" s="109" t="s">
        <v>937</v>
      </c>
      <c r="C57" s="108" t="s">
        <v>1129</v>
      </c>
      <c r="D57" s="108">
        <v>43480</v>
      </c>
      <c r="E57" s="112">
        <v>43496</v>
      </c>
      <c r="F57" s="108">
        <v>43485</v>
      </c>
      <c r="G57" s="108">
        <v>43491</v>
      </c>
      <c r="H57" s="106">
        <v>3.5</v>
      </c>
    </row>
    <row r="58" spans="1:8">
      <c r="A58" s="110" t="s">
        <v>969</v>
      </c>
      <c r="B58" s="109" t="s">
        <v>937</v>
      </c>
      <c r="C58" s="108" t="s">
        <v>1128</v>
      </c>
      <c r="D58" s="108">
        <v>43480</v>
      </c>
      <c r="E58" s="112">
        <v>43496</v>
      </c>
      <c r="F58" s="108">
        <v>43492</v>
      </c>
      <c r="G58" s="108">
        <v>43498</v>
      </c>
      <c r="H58" s="106">
        <v>2.5</v>
      </c>
    </row>
    <row r="59" spans="1:8">
      <c r="A59" s="110" t="s">
        <v>969</v>
      </c>
      <c r="B59" s="109" t="s">
        <v>937</v>
      </c>
      <c r="C59" s="108" t="s">
        <v>1129</v>
      </c>
      <c r="D59" s="108">
        <v>43480</v>
      </c>
      <c r="E59" s="112">
        <v>43496</v>
      </c>
      <c r="F59" s="108">
        <v>43492</v>
      </c>
      <c r="G59" s="108">
        <v>43498</v>
      </c>
      <c r="H59" s="106">
        <v>2.5</v>
      </c>
    </row>
    <row r="60" spans="1:8">
      <c r="A60" s="110" t="s">
        <v>970</v>
      </c>
      <c r="B60" s="109" t="s">
        <v>939</v>
      </c>
      <c r="C60" s="108" t="s">
        <v>1082</v>
      </c>
      <c r="D60" s="108">
        <v>43480</v>
      </c>
      <c r="E60" s="112">
        <v>43496</v>
      </c>
      <c r="F60" s="108">
        <v>43478</v>
      </c>
      <c r="G60" s="108">
        <v>43484</v>
      </c>
      <c r="H60" s="106">
        <v>5</v>
      </c>
    </row>
    <row r="61" spans="1:8">
      <c r="A61" s="110" t="s">
        <v>970</v>
      </c>
      <c r="B61" s="109" t="s">
        <v>939</v>
      </c>
      <c r="C61" s="108" t="s">
        <v>1082</v>
      </c>
      <c r="D61" s="108">
        <v>43480</v>
      </c>
      <c r="E61" s="112">
        <v>43496</v>
      </c>
      <c r="F61" s="108">
        <v>43485</v>
      </c>
      <c r="G61" s="108">
        <v>43491</v>
      </c>
      <c r="H61" s="106">
        <v>7</v>
      </c>
    </row>
    <row r="62" spans="1:8">
      <c r="A62" s="110" t="s">
        <v>970</v>
      </c>
      <c r="B62" s="109" t="s">
        <v>939</v>
      </c>
      <c r="C62" s="108" t="s">
        <v>1082</v>
      </c>
      <c r="D62" s="108">
        <v>43480</v>
      </c>
      <c r="E62" s="112">
        <v>43496</v>
      </c>
      <c r="F62" s="108">
        <v>43492</v>
      </c>
      <c r="G62" s="108">
        <v>43498</v>
      </c>
      <c r="H62" s="106">
        <v>5</v>
      </c>
    </row>
    <row r="63" spans="1:8">
      <c r="A63" s="110" t="s">
        <v>971</v>
      </c>
      <c r="B63" s="109" t="s">
        <v>940</v>
      </c>
      <c r="C63" s="108" t="s">
        <v>1084</v>
      </c>
      <c r="D63" s="108">
        <v>43480</v>
      </c>
      <c r="E63" s="112">
        <v>43496</v>
      </c>
      <c r="F63" s="108">
        <v>43478</v>
      </c>
      <c r="G63" s="108">
        <v>43484</v>
      </c>
      <c r="H63" s="106">
        <v>5</v>
      </c>
    </row>
    <row r="64" spans="1:8">
      <c r="A64" s="110" t="s">
        <v>971</v>
      </c>
      <c r="B64" s="109" t="s">
        <v>940</v>
      </c>
      <c r="C64" s="108" t="s">
        <v>1084</v>
      </c>
      <c r="D64" s="108">
        <v>43480</v>
      </c>
      <c r="E64" s="112">
        <v>43496</v>
      </c>
      <c r="F64" s="108">
        <v>43485</v>
      </c>
      <c r="G64" s="108">
        <v>43491</v>
      </c>
      <c r="H64" s="106">
        <v>7</v>
      </c>
    </row>
    <row r="65" spans="1:8">
      <c r="A65" s="110" t="s">
        <v>971</v>
      </c>
      <c r="B65" s="109" t="s">
        <v>940</v>
      </c>
      <c r="C65" s="108" t="s">
        <v>1084</v>
      </c>
      <c r="D65" s="108">
        <v>43480</v>
      </c>
      <c r="E65" s="112">
        <v>43496</v>
      </c>
      <c r="F65" s="108">
        <v>43492</v>
      </c>
      <c r="G65" s="108">
        <v>43498</v>
      </c>
      <c r="H65" s="106">
        <v>5</v>
      </c>
    </row>
    <row r="66" spans="1:8">
      <c r="A66" s="110" t="s">
        <v>972</v>
      </c>
      <c r="B66" s="109" t="s">
        <v>941</v>
      </c>
      <c r="C66" s="108" t="s">
        <v>1085</v>
      </c>
      <c r="D66" s="108">
        <v>43480</v>
      </c>
      <c r="E66" s="112">
        <v>43496</v>
      </c>
      <c r="F66" s="108">
        <v>43478</v>
      </c>
      <c r="G66" s="108">
        <v>43484</v>
      </c>
      <c r="H66" s="106">
        <v>5</v>
      </c>
    </row>
    <row r="67" spans="1:8">
      <c r="A67" s="110" t="s">
        <v>972</v>
      </c>
      <c r="B67" s="109" t="s">
        <v>941</v>
      </c>
      <c r="C67" s="108" t="s">
        <v>1085</v>
      </c>
      <c r="D67" s="108">
        <v>43480</v>
      </c>
      <c r="E67" s="112">
        <v>43496</v>
      </c>
      <c r="F67" s="108">
        <v>43485</v>
      </c>
      <c r="G67" s="108">
        <v>43491</v>
      </c>
      <c r="H67" s="106">
        <v>7</v>
      </c>
    </row>
    <row r="68" spans="1:8">
      <c r="A68" s="110" t="s">
        <v>972</v>
      </c>
      <c r="B68" s="109" t="s">
        <v>941</v>
      </c>
      <c r="C68" s="108" t="s">
        <v>1085</v>
      </c>
      <c r="D68" s="108">
        <v>43480</v>
      </c>
      <c r="E68" s="112">
        <v>43496</v>
      </c>
      <c r="F68" s="108">
        <v>43492</v>
      </c>
      <c r="G68" s="108">
        <v>43498</v>
      </c>
      <c r="H68" s="106">
        <v>5</v>
      </c>
    </row>
    <row r="69" spans="1:8">
      <c r="A69" s="110" t="s">
        <v>973</v>
      </c>
      <c r="B69" s="109" t="s">
        <v>943</v>
      </c>
      <c r="C69" s="108" t="s">
        <v>1082</v>
      </c>
      <c r="D69" s="108">
        <v>43496</v>
      </c>
      <c r="E69" s="112">
        <v>43501</v>
      </c>
      <c r="F69" s="108">
        <v>43492</v>
      </c>
      <c r="G69" s="108">
        <v>43498</v>
      </c>
      <c r="H69" s="106">
        <v>0.6</v>
      </c>
    </row>
    <row r="70" spans="1:8">
      <c r="A70" s="110" t="s">
        <v>973</v>
      </c>
      <c r="B70" s="109" t="s">
        <v>943</v>
      </c>
      <c r="C70" s="108" t="s">
        <v>1085</v>
      </c>
      <c r="D70" s="108">
        <v>43496</v>
      </c>
      <c r="E70" s="112">
        <v>43501</v>
      </c>
      <c r="F70" s="108">
        <v>43492</v>
      </c>
      <c r="G70" s="108">
        <v>43498</v>
      </c>
      <c r="H70" s="106">
        <v>0.6</v>
      </c>
    </row>
    <row r="71" spans="1:8">
      <c r="A71" s="110" t="s">
        <v>973</v>
      </c>
      <c r="B71" s="109" t="s">
        <v>943</v>
      </c>
      <c r="C71" s="108" t="s">
        <v>1084</v>
      </c>
      <c r="D71" s="108">
        <v>43496</v>
      </c>
      <c r="E71" s="112">
        <v>43501</v>
      </c>
      <c r="F71" s="108">
        <v>43492</v>
      </c>
      <c r="G71" s="108">
        <v>43498</v>
      </c>
      <c r="H71" s="106">
        <v>0.6</v>
      </c>
    </row>
    <row r="72" spans="1:8">
      <c r="A72" s="110" t="s">
        <v>973</v>
      </c>
      <c r="B72" s="109" t="s">
        <v>943</v>
      </c>
      <c r="C72" s="108" t="s">
        <v>1128</v>
      </c>
      <c r="D72" s="108">
        <v>43496</v>
      </c>
      <c r="E72" s="112">
        <v>43501</v>
      </c>
      <c r="F72" s="108">
        <v>43492</v>
      </c>
      <c r="G72" s="108">
        <v>43498</v>
      </c>
      <c r="H72" s="106">
        <v>0.6</v>
      </c>
    </row>
    <row r="73" spans="1:8">
      <c r="A73" s="110" t="s">
        <v>973</v>
      </c>
      <c r="B73" s="109" t="s">
        <v>943</v>
      </c>
      <c r="C73" s="108" t="s">
        <v>1129</v>
      </c>
      <c r="D73" s="108">
        <v>43496</v>
      </c>
      <c r="E73" s="112">
        <v>43501</v>
      </c>
      <c r="F73" s="108">
        <v>43492</v>
      </c>
      <c r="G73" s="108">
        <v>43498</v>
      </c>
      <c r="H73" s="106">
        <v>0.6</v>
      </c>
    </row>
    <row r="74" spans="1:8">
      <c r="A74" s="110" t="s">
        <v>973</v>
      </c>
      <c r="B74" s="109" t="s">
        <v>943</v>
      </c>
      <c r="C74" s="108" t="s">
        <v>1082</v>
      </c>
      <c r="D74" s="108">
        <v>43496</v>
      </c>
      <c r="E74" s="112">
        <v>43501</v>
      </c>
      <c r="F74" s="108">
        <v>43499</v>
      </c>
      <c r="G74" s="108">
        <v>43505</v>
      </c>
      <c r="H74" s="106">
        <v>0.6</v>
      </c>
    </row>
    <row r="75" spans="1:8">
      <c r="A75" s="110" t="s">
        <v>973</v>
      </c>
      <c r="B75" s="109" t="s">
        <v>943</v>
      </c>
      <c r="C75" s="108" t="s">
        <v>1085</v>
      </c>
      <c r="D75" s="108">
        <v>43496</v>
      </c>
      <c r="E75" s="112">
        <v>43501</v>
      </c>
      <c r="F75" s="108">
        <v>43499</v>
      </c>
      <c r="G75" s="108">
        <v>43505</v>
      </c>
      <c r="H75" s="106">
        <v>0.6</v>
      </c>
    </row>
    <row r="76" spans="1:8">
      <c r="A76" s="110" t="s">
        <v>973</v>
      </c>
      <c r="B76" s="109" t="s">
        <v>943</v>
      </c>
      <c r="C76" s="108" t="s">
        <v>1084</v>
      </c>
      <c r="D76" s="108">
        <v>43496</v>
      </c>
      <c r="E76" s="112">
        <v>43501</v>
      </c>
      <c r="F76" s="108">
        <v>43499</v>
      </c>
      <c r="G76" s="108">
        <v>43505</v>
      </c>
      <c r="H76" s="106">
        <v>0.6</v>
      </c>
    </row>
    <row r="77" spans="1:8">
      <c r="A77" s="110" t="s">
        <v>973</v>
      </c>
      <c r="B77" s="109" t="s">
        <v>943</v>
      </c>
      <c r="C77" s="108" t="s">
        <v>1128</v>
      </c>
      <c r="D77" s="108">
        <v>43496</v>
      </c>
      <c r="E77" s="112">
        <v>43501</v>
      </c>
      <c r="F77" s="108">
        <v>43499</v>
      </c>
      <c r="G77" s="108">
        <v>43505</v>
      </c>
      <c r="H77" s="106">
        <v>0.6</v>
      </c>
    </row>
    <row r="78" spans="1:8">
      <c r="A78" s="110" t="s">
        <v>973</v>
      </c>
      <c r="B78" s="109" t="s">
        <v>943</v>
      </c>
      <c r="C78" s="108" t="s">
        <v>1129</v>
      </c>
      <c r="D78" s="108">
        <v>43496</v>
      </c>
      <c r="E78" s="112">
        <v>43501</v>
      </c>
      <c r="F78" s="108">
        <v>43499</v>
      </c>
      <c r="G78" s="108">
        <v>43505</v>
      </c>
      <c r="H78" s="106">
        <v>0.6</v>
      </c>
    </row>
    <row r="79" spans="1:8">
      <c r="A79" s="110" t="s">
        <v>974</v>
      </c>
      <c r="B79" s="109" t="s">
        <v>946</v>
      </c>
      <c r="C79" s="108" t="s">
        <v>1082</v>
      </c>
      <c r="D79" s="108">
        <v>43501</v>
      </c>
      <c r="E79" s="112">
        <v>43502</v>
      </c>
      <c r="F79" s="108">
        <v>43499</v>
      </c>
      <c r="G79" s="108">
        <v>43505</v>
      </c>
      <c r="H79" s="106">
        <v>0.4</v>
      </c>
    </row>
    <row r="80" spans="1:8">
      <c r="A80" s="110" t="s">
        <v>974</v>
      </c>
      <c r="B80" s="109" t="s">
        <v>946</v>
      </c>
      <c r="C80" s="108" t="s">
        <v>1085</v>
      </c>
      <c r="D80" s="108">
        <v>43501</v>
      </c>
      <c r="E80" s="112">
        <v>43502</v>
      </c>
      <c r="F80" s="108">
        <v>43499</v>
      </c>
      <c r="G80" s="108">
        <v>43505</v>
      </c>
      <c r="H80" s="106">
        <v>0.4</v>
      </c>
    </row>
    <row r="81" spans="1:8">
      <c r="A81" s="110" t="s">
        <v>974</v>
      </c>
      <c r="B81" s="109" t="s">
        <v>946</v>
      </c>
      <c r="C81" s="108" t="s">
        <v>1084</v>
      </c>
      <c r="D81" s="108">
        <v>43501</v>
      </c>
      <c r="E81" s="112">
        <v>43502</v>
      </c>
      <c r="F81" s="108">
        <v>43499</v>
      </c>
      <c r="G81" s="108">
        <v>43505</v>
      </c>
      <c r="H81" s="106">
        <v>0.4</v>
      </c>
    </row>
    <row r="82" spans="1:8">
      <c r="A82" s="110" t="s">
        <v>974</v>
      </c>
      <c r="B82" s="109" t="s">
        <v>946</v>
      </c>
      <c r="C82" s="108" t="s">
        <v>1128</v>
      </c>
      <c r="D82" s="108">
        <v>43501</v>
      </c>
      <c r="E82" s="112">
        <v>43502</v>
      </c>
      <c r="F82" s="108">
        <v>43499</v>
      </c>
      <c r="G82" s="108">
        <v>43505</v>
      </c>
      <c r="H82" s="106">
        <v>0.4</v>
      </c>
    </row>
    <row r="83" spans="1:8">
      <c r="A83" s="110" t="s">
        <v>974</v>
      </c>
      <c r="B83" s="109" t="s">
        <v>946</v>
      </c>
      <c r="C83" s="108" t="s">
        <v>1129</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L29"/>
  <sheetViews>
    <sheetView zoomScale="85" zoomScaleNormal="85" workbookViewId="0">
      <selection activeCell="C19" sqref="C19"/>
    </sheetView>
  </sheetViews>
  <sheetFormatPr defaultColWidth="8.88671875" defaultRowHeight="16.5"/>
  <cols>
    <col min="1" max="1" width="43" style="5" customWidth="1"/>
    <col min="2" max="2" width="26" style="2" bestFit="1" customWidth="1"/>
    <col min="3" max="3" width="52.44140625" style="2" customWidth="1"/>
    <col min="4" max="4" width="25.77734375" style="2" bestFit="1" customWidth="1"/>
    <col min="5" max="5" width="30.5546875" style="2" bestFit="1" customWidth="1"/>
    <col min="6" max="6" width="29.21875" style="2" bestFit="1" customWidth="1"/>
    <col min="7" max="7" width="27.33203125" style="5" customWidth="1"/>
    <col min="8" max="8" width="23.5546875" style="5" bestFit="1" customWidth="1"/>
    <col min="9" max="9" width="21.109375" style="5" bestFit="1" customWidth="1"/>
    <col min="10" max="10" width="24.5546875" style="5" bestFit="1" customWidth="1"/>
    <col min="11" max="11" width="5.77734375" style="5" bestFit="1" customWidth="1"/>
    <col min="12" max="12" width="17.88671875" style="5" bestFit="1" customWidth="1"/>
    <col min="13" max="13" width="14.5546875" style="5" bestFit="1" customWidth="1"/>
    <col min="14" max="14" width="14.21875" style="5" bestFit="1" customWidth="1"/>
    <col min="15" max="15" width="14.109375" style="5" bestFit="1" customWidth="1"/>
    <col min="16" max="16" width="22.109375" style="5" bestFit="1" customWidth="1"/>
    <col min="17" max="17" width="4.44140625" style="5" bestFit="1" customWidth="1"/>
    <col min="18" max="18" width="17.44140625" style="5" bestFit="1" customWidth="1"/>
    <col min="19" max="19" width="8.88671875" style="5"/>
    <col min="20" max="20" width="16.6640625" style="5" customWidth="1"/>
    <col min="21" max="21" width="8.88671875" style="5" customWidth="1"/>
    <col min="22" max="22" width="19.44140625" style="5" customWidth="1"/>
    <col min="23" max="23" width="8.88671875" style="5" customWidth="1"/>
    <col min="24" max="24" width="22.109375" style="5" bestFit="1" customWidth="1"/>
    <col min="25" max="25" width="8.88671875" style="5"/>
    <col min="26" max="26" width="28.77734375" style="5" bestFit="1" customWidth="1"/>
    <col min="27" max="27" width="7.33203125" style="5" bestFit="1" customWidth="1"/>
    <col min="28" max="28" width="12.77734375" style="5" bestFit="1" customWidth="1"/>
    <col min="29" max="29" width="44.88671875" style="5" customWidth="1"/>
    <col min="30" max="30" width="25.21875" style="5" bestFit="1" customWidth="1"/>
    <col min="31" max="31" width="14.44140625" style="5" bestFit="1" customWidth="1"/>
    <col min="32" max="32" width="22.109375" style="5" bestFit="1" customWidth="1"/>
    <col min="33" max="33" width="4.44140625" style="5" bestFit="1" customWidth="1"/>
    <col min="34" max="34" width="30.109375" style="5" bestFit="1" customWidth="1"/>
    <col min="35" max="39" width="8.88671875" style="5"/>
    <col min="40" max="40" width="22.109375" style="5" bestFit="1" customWidth="1"/>
    <col min="41" max="41" width="8.88671875" style="5"/>
    <col min="42" max="42" width="15.21875" style="5" bestFit="1" customWidth="1"/>
    <col min="43" max="43" width="8.88671875" style="5"/>
    <col min="44" max="44" width="12.77734375" style="5" bestFit="1" customWidth="1"/>
    <col min="45" max="45" width="8.88671875" style="5"/>
    <col min="46" max="46" width="14.21875" style="5" bestFit="1" customWidth="1"/>
    <col min="47" max="47" width="8.88671875" style="5"/>
    <col min="48" max="48" width="22.109375" style="5" bestFit="1" customWidth="1"/>
    <col min="49" max="49" width="8.88671875" style="5"/>
    <col min="50" max="50" width="15.21875" style="5" bestFit="1" customWidth="1"/>
    <col min="51" max="51" width="8.88671875" style="5"/>
    <col min="52" max="52" width="12.77734375" style="5" bestFit="1" customWidth="1"/>
    <col min="53" max="53" width="8.88671875" style="5"/>
    <col min="54" max="54" width="14.21875" style="5" bestFit="1" customWidth="1"/>
    <col min="55" max="55" width="8.88671875" style="5"/>
    <col min="56" max="56" width="22.109375" style="5" bestFit="1" customWidth="1"/>
    <col min="57" max="57" width="8.88671875" style="5"/>
    <col min="58" max="58" width="15.21875" style="5" bestFit="1" customWidth="1"/>
    <col min="59" max="59" width="8.88671875" style="5"/>
    <col min="60" max="60" width="12.77734375" style="5" bestFit="1" customWidth="1"/>
    <col min="61" max="61" width="8.88671875" style="5"/>
    <col min="62" max="62" width="14.21875" style="5" bestFit="1" customWidth="1"/>
    <col min="63" max="63" width="8.88671875" style="5"/>
    <col min="64" max="64" width="22.109375" style="5" bestFit="1" customWidth="1"/>
    <col min="65" max="65" width="8.88671875" style="5"/>
    <col min="66" max="66" width="30" style="5" bestFit="1" customWidth="1"/>
    <col min="67" max="16384" width="8.886718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1081</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1185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7.25"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7.25"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hyperlink ref="B6" r:id="rId2"/>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405"/>
  <sheetViews>
    <sheetView zoomScaleNormal="100" workbookViewId="0">
      <pane ySplit="1" topLeftCell="A2" activePane="bottomLeft" state="frozen"/>
      <selection pane="bottomLeft" activeCell="D5" sqref="D5"/>
    </sheetView>
  </sheetViews>
  <sheetFormatPr defaultColWidth="29" defaultRowHeight="12.75"/>
  <cols>
    <col min="1" max="1" width="11.21875" style="89" bestFit="1" customWidth="1"/>
    <col min="2" max="2" width="12.5546875" style="89" bestFit="1" customWidth="1"/>
    <col min="3" max="3" width="13.5546875" style="89" bestFit="1" customWidth="1"/>
    <col min="4" max="4" width="52.5546875" style="89" customWidth="1"/>
    <col min="5" max="5" width="45.88671875" style="89" customWidth="1"/>
    <col min="6" max="7" width="32.88671875" style="89" customWidth="1"/>
    <col min="8" max="16384" width="29" style="89"/>
  </cols>
  <sheetData>
    <row r="1" spans="1:6" s="129" customFormat="1" ht="24.75" customHeight="1">
      <c r="A1" s="129" t="s">
        <v>831</v>
      </c>
      <c r="B1" s="129" t="s">
        <v>832</v>
      </c>
      <c r="C1" s="129" t="s">
        <v>833</v>
      </c>
      <c r="D1" s="129" t="s">
        <v>185</v>
      </c>
      <c r="E1" s="129" t="s">
        <v>184</v>
      </c>
    </row>
    <row r="2" spans="1:6" ht="76.5">
      <c r="A2" s="89" t="s">
        <v>1063</v>
      </c>
      <c r="B2" s="89">
        <v>1</v>
      </c>
      <c r="D2" s="89" t="s">
        <v>834</v>
      </c>
      <c r="E2" s="89" t="s">
        <v>546</v>
      </c>
      <c r="F2" s="103"/>
    </row>
    <row r="3" spans="1:6" ht="76.5">
      <c r="A3" s="89">
        <v>450</v>
      </c>
      <c r="B3" s="89">
        <v>2</v>
      </c>
      <c r="D3" s="89" t="s">
        <v>835</v>
      </c>
      <c r="E3" s="89" t="s">
        <v>836</v>
      </c>
      <c r="F3" s="103"/>
    </row>
    <row r="4" spans="1:6" ht="63.75">
      <c r="B4" s="89">
        <v>3</v>
      </c>
      <c r="D4" s="89" t="s">
        <v>817</v>
      </c>
      <c r="E4" s="130" t="s">
        <v>547</v>
      </c>
      <c r="F4" s="102"/>
    </row>
    <row r="5" spans="1:6" ht="63.75">
      <c r="B5" s="89">
        <v>4</v>
      </c>
      <c r="D5" s="89" t="s">
        <v>837</v>
      </c>
      <c r="E5" s="130" t="s">
        <v>548</v>
      </c>
      <c r="F5" s="102"/>
    </row>
    <row r="6" spans="1:6" ht="63.75">
      <c r="B6" s="89">
        <v>5</v>
      </c>
      <c r="D6" s="89" t="s">
        <v>838</v>
      </c>
      <c r="E6" s="89" t="s">
        <v>549</v>
      </c>
      <c r="F6" s="102"/>
    </row>
    <row r="7" spans="1:6" ht="58.5" customHeight="1">
      <c r="B7" s="89">
        <v>6</v>
      </c>
      <c r="D7" s="89" t="s">
        <v>1049</v>
      </c>
      <c r="E7" s="130" t="s">
        <v>989</v>
      </c>
    </row>
    <row r="8" spans="1:6" ht="15">
      <c r="B8" s="89">
        <v>101</v>
      </c>
      <c r="D8" s="89" t="s">
        <v>321</v>
      </c>
      <c r="E8" s="89" t="s">
        <v>516</v>
      </c>
      <c r="F8" s="103"/>
    </row>
    <row r="9" spans="1:6" ht="15">
      <c r="B9" s="89">
        <v>102</v>
      </c>
      <c r="D9" s="89" t="s">
        <v>189</v>
      </c>
      <c r="E9" s="89" t="s">
        <v>517</v>
      </c>
      <c r="F9" s="103"/>
    </row>
    <row r="10" spans="1:6" ht="15">
      <c r="B10" s="89">
        <v>103</v>
      </c>
      <c r="D10" s="89" t="s">
        <v>190</v>
      </c>
      <c r="E10" s="89" t="s">
        <v>518</v>
      </c>
      <c r="F10" s="103"/>
    </row>
    <row r="11" spans="1:6" ht="15">
      <c r="B11" s="89">
        <v>104</v>
      </c>
      <c r="D11" s="89" t="s">
        <v>191</v>
      </c>
      <c r="E11" s="89" t="s">
        <v>519</v>
      </c>
      <c r="F11" s="103"/>
    </row>
    <row r="12" spans="1:6" ht="15">
      <c r="B12" s="89">
        <v>105</v>
      </c>
      <c r="D12" s="89" t="s">
        <v>192</v>
      </c>
      <c r="E12" s="89" t="s">
        <v>520</v>
      </c>
      <c r="F12" s="104"/>
    </row>
    <row r="13" spans="1:6" ht="15">
      <c r="B13" s="89">
        <v>106</v>
      </c>
      <c r="D13" s="89" t="s">
        <v>525</v>
      </c>
      <c r="E13" s="130" t="s">
        <v>338</v>
      </c>
      <c r="F13" s="103"/>
    </row>
    <row r="14" spans="1:6" ht="15">
      <c r="B14" s="89">
        <v>107</v>
      </c>
      <c r="D14" s="89" t="s">
        <v>521</v>
      </c>
      <c r="E14" s="130" t="s">
        <v>522</v>
      </c>
      <c r="F14" s="103"/>
    </row>
    <row r="15" spans="1:6" ht="15">
      <c r="B15" s="89">
        <v>108</v>
      </c>
      <c r="D15" s="89" t="s">
        <v>193</v>
      </c>
      <c r="E15" s="130" t="s">
        <v>526</v>
      </c>
      <c r="F15" s="104"/>
    </row>
    <row r="16" spans="1:6" ht="15">
      <c r="B16" s="89">
        <v>109</v>
      </c>
      <c r="D16" s="89" t="s">
        <v>194</v>
      </c>
      <c r="E16" s="130" t="s">
        <v>527</v>
      </c>
      <c r="F16" s="103"/>
    </row>
    <row r="17" spans="1:9" ht="15">
      <c r="B17" s="89">
        <v>110</v>
      </c>
      <c r="D17" s="89" t="s">
        <v>137</v>
      </c>
      <c r="E17" s="130" t="s">
        <v>339</v>
      </c>
      <c r="F17" s="103"/>
    </row>
    <row r="18" spans="1:9" ht="15">
      <c r="B18" s="89">
        <v>11001</v>
      </c>
      <c r="C18" s="89" t="s">
        <v>839</v>
      </c>
      <c r="D18" s="89" t="s">
        <v>840</v>
      </c>
      <c r="E18" s="130" t="s">
        <v>339</v>
      </c>
      <c r="F18" s="103"/>
    </row>
    <row r="19" spans="1:9" ht="15">
      <c r="B19" s="89">
        <v>111</v>
      </c>
      <c r="D19" s="89" t="s">
        <v>528</v>
      </c>
      <c r="E19" s="89" t="s">
        <v>529</v>
      </c>
      <c r="F19" s="103"/>
    </row>
    <row r="20" spans="1:9" ht="15">
      <c r="B20" s="89">
        <v>112</v>
      </c>
      <c r="D20" s="89" t="s">
        <v>195</v>
      </c>
      <c r="E20" s="89" t="s">
        <v>530</v>
      </c>
      <c r="F20" s="103"/>
    </row>
    <row r="21" spans="1:9" ht="25.5">
      <c r="B21" s="89">
        <v>113</v>
      </c>
      <c r="D21" s="89" t="s">
        <v>841</v>
      </c>
      <c r="E21" s="89" t="s">
        <v>842</v>
      </c>
      <c r="F21" s="103"/>
    </row>
    <row r="22" spans="1:9" ht="15">
      <c r="B22" s="89">
        <v>114</v>
      </c>
      <c r="D22" s="89" t="s">
        <v>843</v>
      </c>
      <c r="E22" s="89" t="s">
        <v>531</v>
      </c>
      <c r="F22" s="103"/>
    </row>
    <row r="23" spans="1:9" ht="25.5">
      <c r="B23" s="89">
        <v>115</v>
      </c>
      <c r="D23" s="89" t="s">
        <v>532</v>
      </c>
      <c r="E23" s="89" t="s">
        <v>533</v>
      </c>
      <c r="F23" s="103"/>
    </row>
    <row r="24" spans="1:9" ht="15">
      <c r="B24" s="89">
        <v>116</v>
      </c>
      <c r="D24" s="89" t="s">
        <v>534</v>
      </c>
      <c r="E24" s="89" t="s">
        <v>535</v>
      </c>
      <c r="F24" s="103"/>
    </row>
    <row r="25" spans="1:9" ht="15">
      <c r="B25" s="89">
        <v>117</v>
      </c>
      <c r="D25" s="89" t="s">
        <v>844</v>
      </c>
      <c r="E25" s="89" t="s">
        <v>536</v>
      </c>
      <c r="F25" s="103"/>
    </row>
    <row r="26" spans="1:9" ht="15">
      <c r="B26" s="89">
        <v>118</v>
      </c>
      <c r="D26" s="89" t="s">
        <v>537</v>
      </c>
      <c r="E26" s="130" t="s">
        <v>538</v>
      </c>
      <c r="F26" s="103"/>
    </row>
    <row r="27" spans="1:9" ht="15">
      <c r="B27" s="89">
        <v>119</v>
      </c>
      <c r="D27" s="89" t="s">
        <v>539</v>
      </c>
      <c r="E27" s="89" t="s">
        <v>540</v>
      </c>
      <c r="F27" s="103"/>
    </row>
    <row r="28" spans="1:9" ht="15">
      <c r="B28" s="89">
        <v>120</v>
      </c>
      <c r="D28" s="89" t="s">
        <v>541</v>
      </c>
      <c r="E28" s="89" t="s">
        <v>542</v>
      </c>
      <c r="F28" s="103"/>
    </row>
    <row r="29" spans="1:9" s="91" customFormat="1" ht="15">
      <c r="A29" s="89"/>
      <c r="B29" s="89">
        <v>121</v>
      </c>
      <c r="C29" s="89"/>
      <c r="D29" s="89" t="s">
        <v>543</v>
      </c>
      <c r="E29" s="89" t="s">
        <v>544</v>
      </c>
      <c r="F29" s="103"/>
      <c r="G29" s="89"/>
      <c r="H29" s="89"/>
      <c r="I29" s="89"/>
    </row>
    <row r="30" spans="1:9" ht="25.5">
      <c r="B30" s="89">
        <v>122</v>
      </c>
      <c r="D30" s="89" t="s">
        <v>845</v>
      </c>
      <c r="E30" s="89" t="s">
        <v>545</v>
      </c>
      <c r="F30" s="103"/>
    </row>
    <row r="31" spans="1:9" ht="15">
      <c r="B31" s="89">
        <v>123</v>
      </c>
      <c r="D31" s="89" t="s">
        <v>188</v>
      </c>
      <c r="E31" s="89" t="s">
        <v>550</v>
      </c>
      <c r="F31" s="102"/>
    </row>
    <row r="32" spans="1:9" ht="15">
      <c r="B32" s="89">
        <v>124</v>
      </c>
      <c r="D32" s="89" t="s">
        <v>340</v>
      </c>
      <c r="E32" s="89" t="s">
        <v>551</v>
      </c>
      <c r="F32" s="103"/>
    </row>
    <row r="33" spans="2:6" ht="15">
      <c r="B33" s="89">
        <v>125</v>
      </c>
      <c r="D33" s="89" t="s">
        <v>318</v>
      </c>
      <c r="E33" s="89" t="s">
        <v>552</v>
      </c>
      <c r="F33" s="103"/>
    </row>
    <row r="34" spans="2:6" ht="15">
      <c r="B34" s="89">
        <v>126</v>
      </c>
      <c r="D34" s="89" t="s">
        <v>196</v>
      </c>
      <c r="E34" s="89" t="s">
        <v>197</v>
      </c>
      <c r="F34" s="103"/>
    </row>
    <row r="35" spans="2:6" ht="15">
      <c r="B35" s="89">
        <v>127</v>
      </c>
      <c r="D35" s="89" t="s">
        <v>198</v>
      </c>
      <c r="E35" s="89" t="s">
        <v>553</v>
      </c>
      <c r="F35" s="103"/>
    </row>
    <row r="36" spans="2:6" ht="15">
      <c r="B36" s="89">
        <v>128</v>
      </c>
      <c r="D36" s="89" t="s">
        <v>511</v>
      </c>
      <c r="E36" s="131">
        <v>42705</v>
      </c>
      <c r="F36" s="103"/>
    </row>
    <row r="37" spans="2:6" ht="15">
      <c r="B37" s="89">
        <v>129</v>
      </c>
      <c r="D37" s="89" t="s">
        <v>511</v>
      </c>
      <c r="E37" s="131">
        <v>42705</v>
      </c>
      <c r="F37" s="103"/>
    </row>
    <row r="38" spans="2:6" ht="15">
      <c r="B38" s="89">
        <v>130</v>
      </c>
      <c r="D38" s="89" t="s">
        <v>512</v>
      </c>
      <c r="E38" s="131">
        <v>42735</v>
      </c>
      <c r="F38" s="103"/>
    </row>
    <row r="39" spans="2:6" ht="15">
      <c r="B39" s="89">
        <v>131</v>
      </c>
      <c r="D39" s="89" t="s">
        <v>512</v>
      </c>
      <c r="E39" s="131">
        <v>42735</v>
      </c>
      <c r="F39" s="103"/>
    </row>
    <row r="40" spans="2:6" ht="15">
      <c r="B40" s="89">
        <v>132</v>
      </c>
      <c r="D40" s="89" t="s">
        <v>150</v>
      </c>
      <c r="E40" s="89" t="s">
        <v>150</v>
      </c>
      <c r="F40" s="103"/>
    </row>
    <row r="41" spans="2:6" ht="15">
      <c r="B41" s="89">
        <v>133</v>
      </c>
      <c r="D41" s="89" t="s">
        <v>341</v>
      </c>
      <c r="E41" s="130" t="s">
        <v>554</v>
      </c>
      <c r="F41" s="103"/>
    </row>
    <row r="42" spans="2:6" ht="15">
      <c r="B42" s="89">
        <v>134</v>
      </c>
      <c r="D42" s="89" t="s">
        <v>846</v>
      </c>
      <c r="E42" s="130" t="s">
        <v>847</v>
      </c>
      <c r="F42" s="103"/>
    </row>
    <row r="43" spans="2:6" ht="25.5">
      <c r="B43" s="89">
        <v>135</v>
      </c>
      <c r="D43" s="89" t="s">
        <v>342</v>
      </c>
      <c r="E43" s="130" t="s">
        <v>555</v>
      </c>
      <c r="F43" s="103"/>
    </row>
    <row r="44" spans="2:6" ht="25.5">
      <c r="B44" s="89">
        <v>136</v>
      </c>
      <c r="D44" s="89" t="s">
        <v>199</v>
      </c>
      <c r="E44" s="130" t="s">
        <v>556</v>
      </c>
      <c r="F44" s="104"/>
    </row>
    <row r="45" spans="2:6" ht="15">
      <c r="B45" s="89">
        <v>137</v>
      </c>
      <c r="D45" s="89" t="s">
        <v>200</v>
      </c>
      <c r="E45" s="130" t="s">
        <v>343</v>
      </c>
      <c r="F45" s="104"/>
    </row>
    <row r="46" spans="2:6" ht="25.5">
      <c r="B46" s="89">
        <v>138</v>
      </c>
      <c r="D46" s="89" t="s">
        <v>344</v>
      </c>
      <c r="E46" s="130" t="s">
        <v>557</v>
      </c>
      <c r="F46" s="104"/>
    </row>
    <row r="47" spans="2:6" ht="15">
      <c r="B47" s="89">
        <v>139</v>
      </c>
      <c r="D47" s="89" t="s">
        <v>201</v>
      </c>
      <c r="E47" s="130" t="s">
        <v>558</v>
      </c>
      <c r="F47" s="103"/>
    </row>
    <row r="48" spans="2:6" ht="25.5">
      <c r="B48" s="89">
        <v>140</v>
      </c>
      <c r="D48" s="89" t="s">
        <v>345</v>
      </c>
      <c r="E48" s="130" t="s">
        <v>559</v>
      </c>
      <c r="F48" s="103"/>
    </row>
    <row r="49" spans="1:6" ht="25.5">
      <c r="B49" s="89">
        <v>141</v>
      </c>
      <c r="D49" s="89" t="s">
        <v>202</v>
      </c>
      <c r="E49" s="130" t="s">
        <v>560</v>
      </c>
      <c r="F49" s="103"/>
    </row>
    <row r="50" spans="1:6" ht="15">
      <c r="A50" s="90"/>
      <c r="B50" s="89">
        <v>142</v>
      </c>
      <c r="D50" s="89" t="s">
        <v>203</v>
      </c>
      <c r="E50" s="130" t="s">
        <v>346</v>
      </c>
      <c r="F50" s="103"/>
    </row>
    <row r="51" spans="1:6" ht="15">
      <c r="A51" s="90"/>
      <c r="B51" s="89">
        <v>143</v>
      </c>
      <c r="D51" s="89" t="s">
        <v>347</v>
      </c>
      <c r="E51" s="130" t="s">
        <v>561</v>
      </c>
      <c r="F51" s="103"/>
    </row>
    <row r="52" spans="1:6" ht="15">
      <c r="A52" s="90"/>
      <c r="B52" s="89">
        <v>144</v>
      </c>
      <c r="D52" s="89" t="s">
        <v>204</v>
      </c>
      <c r="E52" s="130" t="s">
        <v>562</v>
      </c>
      <c r="F52" s="103"/>
    </row>
    <row r="53" spans="1:6" ht="25.5">
      <c r="A53" s="90"/>
      <c r="B53" s="89">
        <v>145</v>
      </c>
      <c r="D53" s="89" t="s">
        <v>348</v>
      </c>
      <c r="E53" s="130" t="s">
        <v>563</v>
      </c>
      <c r="F53" s="103"/>
    </row>
    <row r="54" spans="1:6" ht="15">
      <c r="A54" s="90"/>
      <c r="B54" s="89">
        <v>146</v>
      </c>
      <c r="D54" s="89" t="s">
        <v>564</v>
      </c>
      <c r="E54" s="130" t="s">
        <v>848</v>
      </c>
      <c r="F54" s="103"/>
    </row>
    <row r="55" spans="1:6" ht="15">
      <c r="A55" s="90"/>
      <c r="B55" s="89">
        <v>14601</v>
      </c>
      <c r="C55" s="89" t="s">
        <v>849</v>
      </c>
      <c r="D55" s="89" t="s">
        <v>850</v>
      </c>
      <c r="E55" s="130" t="s">
        <v>851</v>
      </c>
      <c r="F55" s="103"/>
    </row>
    <row r="56" spans="1:6" ht="15">
      <c r="A56" s="90"/>
      <c r="B56" s="89">
        <v>147</v>
      </c>
      <c r="D56" s="89" t="s">
        <v>565</v>
      </c>
      <c r="E56" s="130" t="s">
        <v>818</v>
      </c>
      <c r="F56" s="103"/>
    </row>
    <row r="57" spans="1:6" ht="15">
      <c r="A57" s="90"/>
      <c r="B57" s="89">
        <v>148</v>
      </c>
      <c r="D57" s="89" t="s">
        <v>133</v>
      </c>
      <c r="E57" s="130" t="s">
        <v>566</v>
      </c>
      <c r="F57" s="103"/>
    </row>
    <row r="58" spans="1:6" ht="15">
      <c r="A58" s="90"/>
      <c r="B58" s="89">
        <v>14801</v>
      </c>
      <c r="C58" s="89" t="s">
        <v>849</v>
      </c>
      <c r="D58" s="89" t="s">
        <v>852</v>
      </c>
      <c r="E58" s="130" t="s">
        <v>853</v>
      </c>
      <c r="F58" s="103"/>
    </row>
    <row r="59" spans="1:6" ht="15">
      <c r="A59" s="90"/>
      <c r="B59" s="89">
        <v>149</v>
      </c>
      <c r="D59" s="89" t="s">
        <v>132</v>
      </c>
      <c r="E59" s="130" t="s">
        <v>567</v>
      </c>
      <c r="F59" s="103"/>
    </row>
    <row r="60" spans="1:6" ht="15">
      <c r="A60" s="90"/>
      <c r="B60" s="89">
        <v>14901</v>
      </c>
      <c r="C60" s="89" t="s">
        <v>839</v>
      </c>
      <c r="D60" s="89" t="s">
        <v>854</v>
      </c>
      <c r="E60" s="130" t="s">
        <v>855</v>
      </c>
      <c r="F60" s="103"/>
    </row>
    <row r="61" spans="1:6" ht="15">
      <c r="A61" s="90"/>
      <c r="B61" s="89">
        <v>150</v>
      </c>
      <c r="D61" s="89" t="s">
        <v>856</v>
      </c>
      <c r="E61" s="130" t="s">
        <v>857</v>
      </c>
      <c r="F61" s="103"/>
    </row>
    <row r="62" spans="1:6" ht="15">
      <c r="A62" s="90"/>
      <c r="B62" s="89">
        <v>151</v>
      </c>
      <c r="D62" s="89" t="s">
        <v>135</v>
      </c>
      <c r="E62" s="130" t="s">
        <v>568</v>
      </c>
      <c r="F62" s="103"/>
    </row>
    <row r="63" spans="1:6" ht="15">
      <c r="A63" s="90"/>
      <c r="B63" s="89">
        <v>15101</v>
      </c>
      <c r="C63" s="89" t="s">
        <v>839</v>
      </c>
      <c r="D63" s="89" t="s">
        <v>858</v>
      </c>
      <c r="E63" s="130" t="s">
        <v>859</v>
      </c>
      <c r="F63" s="103"/>
    </row>
    <row r="64" spans="1:6" ht="15">
      <c r="A64" s="90"/>
      <c r="B64" s="89">
        <v>152</v>
      </c>
      <c r="D64" s="89" t="s">
        <v>134</v>
      </c>
      <c r="E64" s="130" t="s">
        <v>569</v>
      </c>
      <c r="F64" s="103"/>
    </row>
    <row r="65" spans="1:6" ht="15">
      <c r="A65" s="90"/>
      <c r="B65" s="89">
        <v>15201</v>
      </c>
      <c r="C65" s="89" t="s">
        <v>849</v>
      </c>
      <c r="D65" s="89" t="s">
        <v>860</v>
      </c>
      <c r="E65" s="130" t="s">
        <v>861</v>
      </c>
      <c r="F65" s="103"/>
    </row>
    <row r="66" spans="1:6" ht="15">
      <c r="A66" s="90"/>
      <c r="B66" s="89">
        <v>153</v>
      </c>
      <c r="D66" s="89" t="s">
        <v>205</v>
      </c>
      <c r="E66" s="130" t="s">
        <v>570</v>
      </c>
      <c r="F66" s="103"/>
    </row>
    <row r="67" spans="1:6" ht="15">
      <c r="B67" s="89">
        <v>154</v>
      </c>
      <c r="D67" s="89" t="s">
        <v>349</v>
      </c>
      <c r="E67" s="130" t="s">
        <v>571</v>
      </c>
      <c r="F67" s="103"/>
    </row>
    <row r="68" spans="1:6" ht="25.5">
      <c r="B68" s="89">
        <v>155</v>
      </c>
      <c r="D68" s="89" t="s">
        <v>337</v>
      </c>
      <c r="E68" s="130" t="s">
        <v>572</v>
      </c>
      <c r="F68" s="103"/>
    </row>
    <row r="69" spans="1:6" ht="15">
      <c r="B69" s="89">
        <v>156</v>
      </c>
      <c r="D69" s="89" t="s">
        <v>206</v>
      </c>
      <c r="E69" s="89" t="s">
        <v>206</v>
      </c>
      <c r="F69" s="103"/>
    </row>
    <row r="70" spans="1:6" ht="15">
      <c r="B70" s="89">
        <v>157</v>
      </c>
      <c r="D70" s="89" t="s">
        <v>207</v>
      </c>
      <c r="E70" s="130" t="s">
        <v>573</v>
      </c>
      <c r="F70" s="103"/>
    </row>
    <row r="71" spans="1:6" ht="15">
      <c r="B71" s="89">
        <v>158</v>
      </c>
      <c r="D71" s="89" t="s">
        <v>115</v>
      </c>
      <c r="E71" s="89" t="s">
        <v>574</v>
      </c>
      <c r="F71" s="103"/>
    </row>
    <row r="72" spans="1:6" ht="15">
      <c r="B72" s="89">
        <v>159</v>
      </c>
      <c r="D72" s="89" t="s">
        <v>122</v>
      </c>
      <c r="E72" s="130" t="s">
        <v>575</v>
      </c>
      <c r="F72" s="103"/>
    </row>
    <row r="73" spans="1:6" ht="15">
      <c r="B73" s="89">
        <v>160</v>
      </c>
      <c r="D73" s="89" t="s">
        <v>208</v>
      </c>
      <c r="E73" s="130" t="s">
        <v>576</v>
      </c>
      <c r="F73" s="103"/>
    </row>
    <row r="74" spans="1:6" ht="25.5">
      <c r="B74" s="89">
        <v>161</v>
      </c>
      <c r="D74" s="89" t="s">
        <v>320</v>
      </c>
      <c r="E74" s="130" t="s">
        <v>577</v>
      </c>
      <c r="F74" s="103"/>
    </row>
    <row r="75" spans="1:6" ht="25.5">
      <c r="B75" s="89">
        <v>162</v>
      </c>
      <c r="D75" s="89" t="s">
        <v>350</v>
      </c>
      <c r="E75" s="130" t="s">
        <v>578</v>
      </c>
      <c r="F75" s="103"/>
    </row>
    <row r="76" spans="1:6" ht="15">
      <c r="B76" s="89">
        <v>163</v>
      </c>
      <c r="D76" s="89" t="s">
        <v>138</v>
      </c>
      <c r="E76" s="130" t="s">
        <v>579</v>
      </c>
      <c r="F76" s="103"/>
    </row>
    <row r="77" spans="1:6" ht="15">
      <c r="B77" s="89">
        <v>164</v>
      </c>
      <c r="D77" s="89" t="s">
        <v>145</v>
      </c>
      <c r="E77" s="130" t="s">
        <v>333</v>
      </c>
      <c r="F77" s="103"/>
    </row>
    <row r="78" spans="1:6" ht="15">
      <c r="B78" s="89">
        <v>165</v>
      </c>
      <c r="D78" s="89" t="s">
        <v>209</v>
      </c>
      <c r="E78" s="130" t="s">
        <v>351</v>
      </c>
      <c r="F78" s="103"/>
    </row>
    <row r="79" spans="1:6" ht="15">
      <c r="B79" s="89">
        <v>166</v>
      </c>
      <c r="D79" s="89" t="s">
        <v>210</v>
      </c>
      <c r="E79" s="130" t="s">
        <v>580</v>
      </c>
      <c r="F79" s="103"/>
    </row>
    <row r="80" spans="1:6" ht="25.5">
      <c r="B80" s="89">
        <v>167</v>
      </c>
      <c r="D80" s="89" t="s">
        <v>352</v>
      </c>
      <c r="E80" s="130" t="s">
        <v>581</v>
      </c>
      <c r="F80" s="103"/>
    </row>
    <row r="81" spans="2:6" ht="15">
      <c r="B81" s="89">
        <v>168</v>
      </c>
      <c r="D81" s="89" t="s">
        <v>862</v>
      </c>
      <c r="E81" s="89" t="s">
        <v>582</v>
      </c>
      <c r="F81" s="103"/>
    </row>
    <row r="82" spans="2:6" ht="15">
      <c r="B82" s="89">
        <v>169</v>
      </c>
      <c r="D82" s="89" t="s">
        <v>211</v>
      </c>
      <c r="E82" s="89" t="s">
        <v>583</v>
      </c>
      <c r="F82" s="103"/>
    </row>
    <row r="83" spans="2:6" ht="15">
      <c r="B83" s="89">
        <v>170</v>
      </c>
      <c r="D83" s="89" t="s">
        <v>212</v>
      </c>
      <c r="E83" s="130" t="s">
        <v>584</v>
      </c>
      <c r="F83" s="103"/>
    </row>
    <row r="84" spans="2:6" ht="25.5">
      <c r="B84" s="89">
        <v>171</v>
      </c>
      <c r="D84" s="89" t="s">
        <v>213</v>
      </c>
      <c r="E84" s="130" t="s">
        <v>585</v>
      </c>
      <c r="F84" s="103"/>
    </row>
    <row r="85" spans="2:6" ht="25.5">
      <c r="B85" s="89">
        <v>172</v>
      </c>
      <c r="D85" s="89" t="s">
        <v>214</v>
      </c>
      <c r="E85" s="130" t="s">
        <v>586</v>
      </c>
      <c r="F85" s="103"/>
    </row>
    <row r="86" spans="2:6" ht="15">
      <c r="B86" s="89">
        <v>173</v>
      </c>
      <c r="D86" s="89" t="s">
        <v>118</v>
      </c>
      <c r="E86" s="89" t="s">
        <v>118</v>
      </c>
      <c r="F86" s="103"/>
    </row>
    <row r="87" spans="2:6" ht="15">
      <c r="B87" s="89">
        <v>174</v>
      </c>
      <c r="D87" s="89" t="s">
        <v>158</v>
      </c>
      <c r="E87" s="130" t="s">
        <v>353</v>
      </c>
      <c r="F87" s="103"/>
    </row>
    <row r="88" spans="2:6" ht="15">
      <c r="B88" s="89">
        <v>175</v>
      </c>
      <c r="D88" s="89" t="s">
        <v>313</v>
      </c>
      <c r="E88" s="130" t="s">
        <v>354</v>
      </c>
      <c r="F88" s="103"/>
    </row>
    <row r="89" spans="2:6" ht="15">
      <c r="B89" s="89">
        <v>176</v>
      </c>
      <c r="D89" s="89" t="s">
        <v>215</v>
      </c>
      <c r="E89" s="130" t="s">
        <v>355</v>
      </c>
      <c r="F89" s="103"/>
    </row>
    <row r="90" spans="2:6" ht="15">
      <c r="B90" s="89">
        <v>177</v>
      </c>
      <c r="D90" s="89" t="s">
        <v>216</v>
      </c>
      <c r="E90" s="130" t="s">
        <v>587</v>
      </c>
      <c r="F90" s="103"/>
    </row>
    <row r="91" spans="2:6" ht="15">
      <c r="B91" s="89">
        <v>178</v>
      </c>
      <c r="D91" s="89" t="s">
        <v>217</v>
      </c>
      <c r="E91" s="89" t="s">
        <v>588</v>
      </c>
      <c r="F91" s="103"/>
    </row>
    <row r="92" spans="2:6" ht="15">
      <c r="B92" s="89">
        <v>179</v>
      </c>
      <c r="D92" s="89" t="s">
        <v>218</v>
      </c>
      <c r="E92" s="89" t="s">
        <v>589</v>
      </c>
      <c r="F92" s="103"/>
    </row>
    <row r="93" spans="2:6" ht="15">
      <c r="B93" s="89">
        <v>180</v>
      </c>
      <c r="D93" s="89" t="s">
        <v>219</v>
      </c>
      <c r="E93" s="130" t="s">
        <v>590</v>
      </c>
      <c r="F93" s="103"/>
    </row>
    <row r="94" spans="2:6" ht="15">
      <c r="B94" s="89">
        <v>181</v>
      </c>
      <c r="D94" s="89" t="s">
        <v>220</v>
      </c>
      <c r="E94" s="130" t="s">
        <v>591</v>
      </c>
      <c r="F94" s="103"/>
    </row>
    <row r="95" spans="2:6" ht="15">
      <c r="B95" s="89">
        <v>182</v>
      </c>
      <c r="D95" s="89" t="s">
        <v>221</v>
      </c>
      <c r="E95" s="130" t="s">
        <v>592</v>
      </c>
      <c r="F95" s="103"/>
    </row>
    <row r="96" spans="2:6" ht="15">
      <c r="B96" s="89">
        <v>183</v>
      </c>
      <c r="D96" s="89" t="s">
        <v>112</v>
      </c>
      <c r="E96" s="130" t="s">
        <v>356</v>
      </c>
      <c r="F96" s="103"/>
    </row>
    <row r="97" spans="2:6" ht="15">
      <c r="B97" s="89">
        <v>184</v>
      </c>
      <c r="D97" s="89" t="s">
        <v>357</v>
      </c>
      <c r="E97" s="130" t="s">
        <v>593</v>
      </c>
      <c r="F97" s="103"/>
    </row>
    <row r="98" spans="2:6" ht="15">
      <c r="B98" s="89">
        <v>185</v>
      </c>
      <c r="D98" s="89" t="s">
        <v>121</v>
      </c>
      <c r="E98" s="130" t="s">
        <v>358</v>
      </c>
      <c r="F98" s="103"/>
    </row>
    <row r="99" spans="2:6" ht="15">
      <c r="B99" s="89">
        <v>186</v>
      </c>
      <c r="D99" s="89" t="s">
        <v>222</v>
      </c>
      <c r="E99" s="130" t="s">
        <v>594</v>
      </c>
      <c r="F99" s="103"/>
    </row>
    <row r="100" spans="2:6" ht="15">
      <c r="B100" s="89">
        <v>187</v>
      </c>
      <c r="D100" s="89" t="s">
        <v>223</v>
      </c>
      <c r="E100" s="130" t="s">
        <v>595</v>
      </c>
      <c r="F100" s="103"/>
    </row>
    <row r="101" spans="2:6" ht="15">
      <c r="B101" s="89">
        <v>188</v>
      </c>
      <c r="D101" s="89" t="s">
        <v>164</v>
      </c>
      <c r="E101" s="130" t="s">
        <v>596</v>
      </c>
      <c r="F101" s="103"/>
    </row>
    <row r="102" spans="2:6" ht="15">
      <c r="B102" s="89">
        <v>189</v>
      </c>
      <c r="D102" s="89" t="s">
        <v>162</v>
      </c>
      <c r="E102" s="130" t="s">
        <v>359</v>
      </c>
      <c r="F102" s="103"/>
    </row>
    <row r="103" spans="2:6" ht="15">
      <c r="B103" s="89">
        <v>190</v>
      </c>
      <c r="D103" s="89" t="s">
        <v>360</v>
      </c>
      <c r="E103" s="130" t="s">
        <v>597</v>
      </c>
      <c r="F103" s="103"/>
    </row>
    <row r="104" spans="2:6" ht="15">
      <c r="B104" s="89">
        <v>191</v>
      </c>
      <c r="D104" s="89" t="s">
        <v>361</v>
      </c>
      <c r="E104" s="130" t="s">
        <v>863</v>
      </c>
      <c r="F104" s="103"/>
    </row>
    <row r="105" spans="2:6" ht="15">
      <c r="B105" s="89">
        <v>192</v>
      </c>
      <c r="D105" s="89" t="s">
        <v>224</v>
      </c>
      <c r="E105" s="130" t="s">
        <v>598</v>
      </c>
      <c r="F105" s="103"/>
    </row>
    <row r="106" spans="2:6" ht="15">
      <c r="B106" s="89">
        <v>193</v>
      </c>
      <c r="D106" s="89" t="s">
        <v>161</v>
      </c>
      <c r="E106" s="130" t="s">
        <v>599</v>
      </c>
      <c r="F106" s="103"/>
    </row>
    <row r="107" spans="2:6" ht="15">
      <c r="B107" s="89">
        <v>194</v>
      </c>
      <c r="D107" s="89" t="s">
        <v>225</v>
      </c>
      <c r="E107" s="130" t="s">
        <v>600</v>
      </c>
      <c r="F107" s="103"/>
    </row>
    <row r="108" spans="2:6" ht="25.5">
      <c r="B108" s="89">
        <v>195</v>
      </c>
      <c r="D108" s="89" t="s">
        <v>362</v>
      </c>
      <c r="E108" s="130" t="s">
        <v>601</v>
      </c>
      <c r="F108" s="103"/>
    </row>
    <row r="109" spans="2:6" ht="15">
      <c r="B109" s="89">
        <v>196</v>
      </c>
      <c r="D109" s="89" t="s">
        <v>513</v>
      </c>
      <c r="E109" s="89" t="s">
        <v>602</v>
      </c>
      <c r="F109" s="103"/>
    </row>
    <row r="110" spans="2:6" ht="15">
      <c r="B110" s="89">
        <v>197</v>
      </c>
      <c r="D110" s="89" t="s">
        <v>169</v>
      </c>
      <c r="E110" s="130" t="s">
        <v>603</v>
      </c>
      <c r="F110" s="103"/>
    </row>
    <row r="111" spans="2:6" ht="15">
      <c r="B111" s="89">
        <v>198</v>
      </c>
      <c r="D111" s="89" t="s">
        <v>363</v>
      </c>
      <c r="E111" s="130" t="s">
        <v>604</v>
      </c>
      <c r="F111" s="103"/>
    </row>
    <row r="112" spans="2:6" ht="15">
      <c r="B112" s="89">
        <v>199</v>
      </c>
      <c r="D112" s="89" t="s">
        <v>226</v>
      </c>
      <c r="E112" s="130" t="s">
        <v>605</v>
      </c>
      <c r="F112" s="103"/>
    </row>
    <row r="113" spans="2:6" ht="15">
      <c r="B113" s="89">
        <v>200</v>
      </c>
      <c r="D113" s="89" t="s">
        <v>364</v>
      </c>
      <c r="E113" s="130" t="s">
        <v>606</v>
      </c>
      <c r="F113" s="103"/>
    </row>
    <row r="114" spans="2:6" ht="51">
      <c r="B114" s="89">
        <v>201</v>
      </c>
      <c r="D114" s="89" t="s">
        <v>607</v>
      </c>
      <c r="E114" s="130" t="s">
        <v>608</v>
      </c>
      <c r="F114" s="103"/>
    </row>
    <row r="115" spans="2:6" ht="15">
      <c r="B115" s="89">
        <v>202</v>
      </c>
      <c r="D115" s="89" t="s">
        <v>227</v>
      </c>
      <c r="E115" s="130" t="s">
        <v>609</v>
      </c>
      <c r="F115" s="103"/>
    </row>
    <row r="116" spans="2:6" ht="15">
      <c r="B116" s="89">
        <v>203</v>
      </c>
      <c r="D116" s="89" t="s">
        <v>148</v>
      </c>
      <c r="E116" s="130" t="s">
        <v>365</v>
      </c>
      <c r="F116" s="103"/>
    </row>
    <row r="117" spans="2:6" ht="15">
      <c r="B117" s="89">
        <v>204</v>
      </c>
      <c r="D117" s="89" t="s">
        <v>228</v>
      </c>
      <c r="E117" s="130" t="s">
        <v>366</v>
      </c>
      <c r="F117" s="103"/>
    </row>
    <row r="118" spans="2:6" ht="15">
      <c r="B118" s="89">
        <v>205</v>
      </c>
      <c r="D118" s="89" t="s">
        <v>229</v>
      </c>
      <c r="E118" s="130" t="s">
        <v>610</v>
      </c>
      <c r="F118" s="103"/>
    </row>
    <row r="119" spans="2:6" ht="15">
      <c r="B119" s="89">
        <v>206</v>
      </c>
      <c r="D119" s="89" t="s">
        <v>230</v>
      </c>
      <c r="E119" s="130" t="s">
        <v>367</v>
      </c>
      <c r="F119" s="103"/>
    </row>
    <row r="120" spans="2:6" ht="15">
      <c r="B120" s="89">
        <v>207</v>
      </c>
      <c r="D120" s="89" t="s">
        <v>231</v>
      </c>
      <c r="E120" s="130" t="s">
        <v>611</v>
      </c>
      <c r="F120" s="103"/>
    </row>
    <row r="121" spans="2:6" ht="15">
      <c r="B121" s="89">
        <v>208</v>
      </c>
      <c r="D121" s="89" t="s">
        <v>144</v>
      </c>
      <c r="E121" s="130" t="s">
        <v>368</v>
      </c>
      <c r="F121" s="103"/>
    </row>
    <row r="122" spans="2:6" ht="15">
      <c r="B122" s="89">
        <v>209</v>
      </c>
      <c r="D122" s="89" t="s">
        <v>127</v>
      </c>
      <c r="E122" s="130" t="s">
        <v>369</v>
      </c>
      <c r="F122" s="103"/>
    </row>
    <row r="123" spans="2:6" ht="15">
      <c r="B123" s="89">
        <v>210</v>
      </c>
      <c r="D123" s="89" t="s">
        <v>157</v>
      </c>
      <c r="E123" s="130" t="s">
        <v>370</v>
      </c>
      <c r="F123" s="103"/>
    </row>
    <row r="124" spans="2:6" ht="25.5">
      <c r="B124" s="89">
        <v>211</v>
      </c>
      <c r="D124" s="89" t="s">
        <v>371</v>
      </c>
      <c r="E124" s="130" t="s">
        <v>612</v>
      </c>
      <c r="F124" s="103"/>
    </row>
    <row r="125" spans="2:6" ht="15">
      <c r="B125" s="89">
        <v>212</v>
      </c>
      <c r="D125" s="89" t="s">
        <v>232</v>
      </c>
      <c r="E125" s="130" t="s">
        <v>613</v>
      </c>
      <c r="F125" s="103"/>
    </row>
    <row r="126" spans="2:6" ht="25.5">
      <c r="B126" s="89">
        <v>213</v>
      </c>
      <c r="D126" s="89" t="s">
        <v>372</v>
      </c>
      <c r="E126" s="130" t="s">
        <v>614</v>
      </c>
      <c r="F126" s="103"/>
    </row>
    <row r="127" spans="2:6" ht="15">
      <c r="B127" s="89">
        <v>214</v>
      </c>
      <c r="D127" s="89" t="s">
        <v>233</v>
      </c>
      <c r="E127" s="130" t="s">
        <v>615</v>
      </c>
      <c r="F127" s="103"/>
    </row>
    <row r="128" spans="2:6" ht="15">
      <c r="B128" s="89">
        <v>215</v>
      </c>
      <c r="D128" s="89" t="s">
        <v>180</v>
      </c>
      <c r="E128" s="130" t="s">
        <v>373</v>
      </c>
      <c r="F128" s="103"/>
    </row>
    <row r="129" spans="2:6" ht="13.5">
      <c r="B129" s="89">
        <v>216</v>
      </c>
      <c r="D129" s="89" t="s">
        <v>234</v>
      </c>
      <c r="E129" s="89" t="s">
        <v>616</v>
      </c>
      <c r="F129" s="105"/>
    </row>
    <row r="130" spans="2:6" ht="15">
      <c r="B130" s="89">
        <v>217</v>
      </c>
      <c r="D130" s="89" t="s">
        <v>374</v>
      </c>
      <c r="E130" s="89" t="s">
        <v>617</v>
      </c>
      <c r="F130" s="103"/>
    </row>
    <row r="131" spans="2:6" ht="15">
      <c r="B131" s="89">
        <v>218</v>
      </c>
      <c r="D131" s="89" t="s">
        <v>165</v>
      </c>
      <c r="E131" s="130" t="s">
        <v>864</v>
      </c>
      <c r="F131" s="103"/>
    </row>
    <row r="132" spans="2:6" ht="25.5">
      <c r="B132" s="89">
        <v>219</v>
      </c>
      <c r="D132" s="89" t="s">
        <v>375</v>
      </c>
      <c r="E132" s="130" t="s">
        <v>618</v>
      </c>
      <c r="F132" s="103"/>
    </row>
    <row r="133" spans="2:6" ht="25.5">
      <c r="B133" s="89">
        <v>220</v>
      </c>
      <c r="D133" s="89" t="s">
        <v>235</v>
      </c>
      <c r="E133" s="130" t="s">
        <v>619</v>
      </c>
      <c r="F133" s="103"/>
    </row>
    <row r="134" spans="2:6" ht="25.5">
      <c r="B134" s="89">
        <v>221</v>
      </c>
      <c r="D134" s="89" t="s">
        <v>376</v>
      </c>
      <c r="E134" s="89" t="s">
        <v>620</v>
      </c>
      <c r="F134" s="103"/>
    </row>
    <row r="135" spans="2:6" ht="15">
      <c r="B135" s="89">
        <v>222</v>
      </c>
      <c r="D135" s="89" t="s">
        <v>149</v>
      </c>
      <c r="E135" s="130" t="s">
        <v>377</v>
      </c>
      <c r="F135" s="103"/>
    </row>
    <row r="136" spans="2:6" ht="15">
      <c r="B136" s="89">
        <v>223</v>
      </c>
      <c r="D136" s="89" t="s">
        <v>236</v>
      </c>
      <c r="E136" s="130" t="s">
        <v>621</v>
      </c>
      <c r="F136" s="103"/>
    </row>
    <row r="137" spans="2:6" ht="15">
      <c r="B137" s="89">
        <v>224</v>
      </c>
      <c r="D137" s="89" t="s">
        <v>237</v>
      </c>
      <c r="E137" s="130" t="s">
        <v>622</v>
      </c>
      <c r="F137" s="104"/>
    </row>
    <row r="138" spans="2:6" ht="15">
      <c r="B138" s="89">
        <v>225</v>
      </c>
      <c r="D138" s="89" t="s">
        <v>378</v>
      </c>
      <c r="E138" s="130" t="s">
        <v>623</v>
      </c>
      <c r="F138" s="103"/>
    </row>
    <row r="139" spans="2:6" ht="15">
      <c r="B139" s="89">
        <v>226</v>
      </c>
      <c r="D139" s="89" t="s">
        <v>238</v>
      </c>
      <c r="E139" s="89" t="s">
        <v>624</v>
      </c>
      <c r="F139" s="103"/>
    </row>
    <row r="140" spans="2:6" ht="25.5">
      <c r="B140" s="89">
        <v>227</v>
      </c>
      <c r="D140" s="89" t="s">
        <v>379</v>
      </c>
      <c r="E140" s="130" t="s">
        <v>625</v>
      </c>
      <c r="F140" s="103"/>
    </row>
    <row r="141" spans="2:6" ht="25.5">
      <c r="B141" s="89">
        <v>228</v>
      </c>
      <c r="D141" s="89" t="s">
        <v>380</v>
      </c>
      <c r="E141" s="130" t="s">
        <v>626</v>
      </c>
      <c r="F141" s="103"/>
    </row>
    <row r="142" spans="2:6" ht="15">
      <c r="B142" s="89">
        <v>229</v>
      </c>
      <c r="D142" s="89" t="s">
        <v>239</v>
      </c>
      <c r="E142" s="130" t="s">
        <v>627</v>
      </c>
      <c r="F142" s="103"/>
    </row>
    <row r="143" spans="2:6" ht="25.5">
      <c r="B143" s="89">
        <v>230</v>
      </c>
      <c r="D143" s="89" t="s">
        <v>381</v>
      </c>
      <c r="E143" s="130" t="s">
        <v>628</v>
      </c>
      <c r="F143" s="103"/>
    </row>
    <row r="144" spans="2:6" ht="15">
      <c r="B144" s="89">
        <v>231</v>
      </c>
      <c r="D144" s="89" t="s">
        <v>382</v>
      </c>
      <c r="E144" s="130" t="s">
        <v>629</v>
      </c>
      <c r="F144" s="103"/>
    </row>
    <row r="145" spans="2:6" ht="15">
      <c r="B145" s="89">
        <v>232</v>
      </c>
      <c r="D145" s="89" t="s">
        <v>240</v>
      </c>
      <c r="E145" s="130" t="s">
        <v>630</v>
      </c>
      <c r="F145" s="103"/>
    </row>
    <row r="146" spans="2:6" ht="15">
      <c r="B146" s="89">
        <v>233</v>
      </c>
      <c r="D146" s="89" t="s">
        <v>241</v>
      </c>
      <c r="E146" s="130" t="s">
        <v>631</v>
      </c>
      <c r="F146" s="104"/>
    </row>
    <row r="147" spans="2:6" ht="15">
      <c r="B147" s="89">
        <v>234</v>
      </c>
      <c r="D147" s="89" t="s">
        <v>865</v>
      </c>
      <c r="E147" s="89" t="s">
        <v>632</v>
      </c>
      <c r="F147" s="103"/>
    </row>
    <row r="148" spans="2:6" ht="15">
      <c r="B148" s="89">
        <v>235</v>
      </c>
      <c r="D148" s="89" t="s">
        <v>866</v>
      </c>
      <c r="E148" s="89" t="s">
        <v>633</v>
      </c>
      <c r="F148" s="103"/>
    </row>
    <row r="149" spans="2:6" ht="15">
      <c r="B149" s="89">
        <v>236</v>
      </c>
      <c r="D149" s="89" t="s">
        <v>867</v>
      </c>
      <c r="E149" s="130" t="s">
        <v>868</v>
      </c>
      <c r="F149" s="103"/>
    </row>
    <row r="150" spans="2:6" ht="15">
      <c r="B150" s="89">
        <v>237</v>
      </c>
      <c r="D150" s="89" t="s">
        <v>242</v>
      </c>
      <c r="E150" s="130" t="s">
        <v>634</v>
      </c>
      <c r="F150" s="103"/>
    </row>
    <row r="151" spans="2:6" ht="25.5">
      <c r="B151" s="89">
        <v>238</v>
      </c>
      <c r="D151" s="89" t="s">
        <v>514</v>
      </c>
      <c r="F151" s="103"/>
    </row>
    <row r="152" spans="2:6" ht="15">
      <c r="B152" s="89">
        <v>239</v>
      </c>
      <c r="D152" s="89" t="s">
        <v>383</v>
      </c>
      <c r="E152" s="130" t="s">
        <v>635</v>
      </c>
      <c r="F152" s="103"/>
    </row>
    <row r="153" spans="2:6" ht="13.5">
      <c r="B153" s="89">
        <v>240</v>
      </c>
      <c r="D153" s="89" t="s">
        <v>243</v>
      </c>
      <c r="E153" s="130" t="s">
        <v>384</v>
      </c>
      <c r="F153" s="105"/>
    </row>
    <row r="154" spans="2:6" ht="15">
      <c r="B154" s="89">
        <v>241</v>
      </c>
      <c r="D154" s="89" t="s">
        <v>244</v>
      </c>
      <c r="E154" s="130" t="s">
        <v>331</v>
      </c>
      <c r="F154" s="103"/>
    </row>
    <row r="155" spans="2:6" ht="13.5">
      <c r="B155" s="89">
        <v>242</v>
      </c>
      <c r="D155" s="89" t="s">
        <v>167</v>
      </c>
      <c r="E155" s="130" t="s">
        <v>869</v>
      </c>
      <c r="F155" s="105"/>
    </row>
    <row r="156" spans="2:6" ht="15">
      <c r="B156" s="89">
        <v>243</v>
      </c>
      <c r="D156" s="89" t="s">
        <v>153</v>
      </c>
      <c r="E156" s="130" t="s">
        <v>636</v>
      </c>
      <c r="F156" s="103"/>
    </row>
    <row r="157" spans="2:6" ht="15">
      <c r="B157" s="89">
        <v>244</v>
      </c>
      <c r="D157" s="89" t="s">
        <v>385</v>
      </c>
      <c r="E157" s="130" t="s">
        <v>637</v>
      </c>
      <c r="F157" s="103"/>
    </row>
    <row r="158" spans="2:6" ht="15">
      <c r="B158" s="89">
        <v>245</v>
      </c>
      <c r="D158" s="89" t="s">
        <v>139</v>
      </c>
      <c r="E158" s="89" t="s">
        <v>139</v>
      </c>
      <c r="F158" s="103"/>
    </row>
    <row r="159" spans="2:6" ht="15">
      <c r="B159" s="89">
        <v>246</v>
      </c>
      <c r="D159" s="89" t="s">
        <v>140</v>
      </c>
      <c r="E159" s="89" t="s">
        <v>140</v>
      </c>
      <c r="F159" s="103"/>
    </row>
    <row r="160" spans="2:6" ht="15">
      <c r="B160" s="89">
        <v>247</v>
      </c>
      <c r="D160" s="89" t="s">
        <v>245</v>
      </c>
      <c r="E160" s="89" t="s">
        <v>182</v>
      </c>
      <c r="F160" s="103"/>
    </row>
    <row r="161" spans="2:6" ht="15">
      <c r="B161" s="89">
        <v>248</v>
      </c>
      <c r="D161" s="89" t="s">
        <v>183</v>
      </c>
      <c r="E161" s="89" t="s">
        <v>515</v>
      </c>
      <c r="F161" s="103"/>
    </row>
    <row r="162" spans="2:6" ht="15">
      <c r="B162" s="89">
        <v>249</v>
      </c>
      <c r="D162" s="89" t="s">
        <v>173</v>
      </c>
      <c r="E162" s="89" t="s">
        <v>638</v>
      </c>
      <c r="F162" s="103"/>
    </row>
    <row r="163" spans="2:6" ht="15">
      <c r="B163" s="89">
        <v>250</v>
      </c>
      <c r="D163" s="89" t="s">
        <v>176</v>
      </c>
      <c r="E163" s="130" t="s">
        <v>386</v>
      </c>
      <c r="F163" s="103"/>
    </row>
    <row r="164" spans="2:6" ht="15">
      <c r="B164" s="89">
        <v>251</v>
      </c>
      <c r="D164" s="89" t="s">
        <v>870</v>
      </c>
      <c r="E164" s="130" t="s">
        <v>387</v>
      </c>
      <c r="F164" s="103"/>
    </row>
    <row r="165" spans="2:6" ht="15">
      <c r="B165" s="89">
        <v>252</v>
      </c>
      <c r="D165" s="89" t="s">
        <v>310</v>
      </c>
      <c r="E165" s="130" t="s">
        <v>388</v>
      </c>
      <c r="F165" s="103"/>
    </row>
    <row r="166" spans="2:6" ht="15">
      <c r="B166" s="89">
        <v>253</v>
      </c>
      <c r="D166" s="89" t="s">
        <v>246</v>
      </c>
      <c r="E166" s="130" t="s">
        <v>639</v>
      </c>
      <c r="F166" s="103"/>
    </row>
    <row r="167" spans="2:6" ht="15">
      <c r="B167" s="89">
        <v>254</v>
      </c>
      <c r="D167" s="89" t="s">
        <v>311</v>
      </c>
      <c r="E167" s="130" t="s">
        <v>389</v>
      </c>
      <c r="F167" s="103"/>
    </row>
    <row r="168" spans="2:6" ht="15">
      <c r="B168" s="89">
        <v>255</v>
      </c>
      <c r="D168" s="89" t="s">
        <v>390</v>
      </c>
      <c r="E168" s="130" t="s">
        <v>640</v>
      </c>
      <c r="F168" s="103"/>
    </row>
    <row r="169" spans="2:6" ht="15">
      <c r="B169" s="89">
        <v>256</v>
      </c>
      <c r="D169" s="89" t="s">
        <v>247</v>
      </c>
      <c r="E169" s="130" t="s">
        <v>641</v>
      </c>
      <c r="F169" s="103"/>
    </row>
    <row r="170" spans="2:6" ht="15">
      <c r="B170" s="89">
        <v>257</v>
      </c>
      <c r="D170" s="89" t="s">
        <v>117</v>
      </c>
      <c r="E170" s="130" t="s">
        <v>391</v>
      </c>
      <c r="F170" s="103"/>
    </row>
    <row r="171" spans="2:6" ht="25.5">
      <c r="B171" s="89">
        <v>258</v>
      </c>
      <c r="D171" s="89" t="s">
        <v>392</v>
      </c>
      <c r="E171" s="89" t="s">
        <v>642</v>
      </c>
      <c r="F171" s="103"/>
    </row>
    <row r="172" spans="2:6" ht="25.5">
      <c r="B172" s="89">
        <v>259</v>
      </c>
      <c r="D172" s="89" t="s">
        <v>393</v>
      </c>
      <c r="E172" s="130" t="s">
        <v>643</v>
      </c>
      <c r="F172" s="103"/>
    </row>
    <row r="173" spans="2:6" ht="15">
      <c r="B173" s="89">
        <v>260</v>
      </c>
      <c r="D173" s="89" t="s">
        <v>116</v>
      </c>
      <c r="E173" s="130" t="s">
        <v>644</v>
      </c>
      <c r="F173" s="103"/>
    </row>
    <row r="174" spans="2:6" ht="15">
      <c r="B174" s="89">
        <v>261</v>
      </c>
      <c r="D174" s="89" t="s">
        <v>248</v>
      </c>
      <c r="E174" s="130" t="s">
        <v>645</v>
      </c>
      <c r="F174" s="103"/>
    </row>
    <row r="175" spans="2:6" ht="15">
      <c r="B175" s="89">
        <v>262</v>
      </c>
      <c r="D175" s="89" t="s">
        <v>249</v>
      </c>
      <c r="E175" s="130" t="s">
        <v>394</v>
      </c>
      <c r="F175" s="103"/>
    </row>
    <row r="176" spans="2:6" ht="38.25">
      <c r="B176" s="89">
        <v>263</v>
      </c>
      <c r="D176" s="89" t="s">
        <v>871</v>
      </c>
      <c r="E176" s="130" t="s">
        <v>523</v>
      </c>
      <c r="F176" s="103"/>
    </row>
    <row r="177" spans="2:6" ht="15">
      <c r="B177" s="89">
        <v>264</v>
      </c>
      <c r="D177" s="89" t="s">
        <v>250</v>
      </c>
      <c r="E177" s="130" t="s">
        <v>646</v>
      </c>
      <c r="F177" s="103"/>
    </row>
    <row r="178" spans="2:6" ht="15">
      <c r="B178" s="89">
        <v>265</v>
      </c>
      <c r="D178" s="89" t="s">
        <v>251</v>
      </c>
      <c r="E178" s="130" t="s">
        <v>647</v>
      </c>
      <c r="F178" s="103"/>
    </row>
    <row r="179" spans="2:6" ht="25.5">
      <c r="B179" s="89">
        <v>266</v>
      </c>
      <c r="D179" s="89" t="s">
        <v>395</v>
      </c>
      <c r="E179" s="130" t="s">
        <v>648</v>
      </c>
      <c r="F179" s="103"/>
    </row>
    <row r="180" spans="2:6" ht="15">
      <c r="B180" s="89">
        <v>267</v>
      </c>
      <c r="D180" s="89" t="s">
        <v>396</v>
      </c>
      <c r="E180" s="130" t="s">
        <v>397</v>
      </c>
      <c r="F180" s="103"/>
    </row>
    <row r="181" spans="2:6" ht="15">
      <c r="B181" s="89">
        <v>268</v>
      </c>
      <c r="D181" s="89" t="s">
        <v>872</v>
      </c>
      <c r="E181" s="130" t="s">
        <v>873</v>
      </c>
      <c r="F181" s="104"/>
    </row>
    <row r="182" spans="2:6" ht="15">
      <c r="B182" s="89">
        <v>269</v>
      </c>
      <c r="D182" s="89" t="s">
        <v>252</v>
      </c>
      <c r="E182" s="130" t="s">
        <v>649</v>
      </c>
      <c r="F182" s="103"/>
    </row>
    <row r="183" spans="2:6" ht="25.5">
      <c r="B183" s="89">
        <v>270</v>
      </c>
      <c r="D183" s="89" t="s">
        <v>253</v>
      </c>
      <c r="E183" s="130" t="s">
        <v>650</v>
      </c>
      <c r="F183" s="103"/>
    </row>
    <row r="184" spans="2:6" ht="15">
      <c r="B184" s="89">
        <v>271</v>
      </c>
      <c r="D184" s="89" t="s">
        <v>254</v>
      </c>
      <c r="E184" s="130" t="s">
        <v>651</v>
      </c>
      <c r="F184" s="103"/>
    </row>
    <row r="185" spans="2:6" ht="15">
      <c r="B185" s="89">
        <v>272</v>
      </c>
      <c r="D185" s="89" t="s">
        <v>255</v>
      </c>
      <c r="E185" s="130" t="s">
        <v>652</v>
      </c>
      <c r="F185" s="103"/>
    </row>
    <row r="186" spans="2:6" ht="15">
      <c r="B186" s="89">
        <v>273</v>
      </c>
      <c r="D186" s="89" t="s">
        <v>398</v>
      </c>
      <c r="E186" s="130" t="s">
        <v>399</v>
      </c>
      <c r="F186" s="104"/>
    </row>
    <row r="187" spans="2:6" ht="15">
      <c r="B187" s="89">
        <v>274</v>
      </c>
      <c r="D187" s="89" t="s">
        <v>874</v>
      </c>
      <c r="E187" s="130" t="s">
        <v>653</v>
      </c>
      <c r="F187" s="103"/>
    </row>
    <row r="188" spans="2:6" ht="15">
      <c r="B188" s="89">
        <v>275</v>
      </c>
      <c r="D188" s="89" t="s">
        <v>256</v>
      </c>
      <c r="E188" s="130" t="s">
        <v>654</v>
      </c>
      <c r="F188" s="103"/>
    </row>
    <row r="189" spans="2:6" ht="38.25">
      <c r="B189" s="89">
        <v>276</v>
      </c>
      <c r="D189" s="89" t="s">
        <v>655</v>
      </c>
      <c r="E189" s="130" t="s">
        <v>656</v>
      </c>
      <c r="F189" s="103"/>
    </row>
    <row r="190" spans="2:6" ht="15">
      <c r="B190" s="89">
        <v>277</v>
      </c>
      <c r="D190" s="89" t="s">
        <v>257</v>
      </c>
      <c r="E190" s="130" t="s">
        <v>657</v>
      </c>
      <c r="F190" s="103"/>
    </row>
    <row r="191" spans="2:6" ht="25.5">
      <c r="B191" s="89">
        <v>278</v>
      </c>
      <c r="D191" s="89" t="s">
        <v>258</v>
      </c>
      <c r="E191" s="130" t="s">
        <v>658</v>
      </c>
      <c r="F191" s="103"/>
    </row>
    <row r="192" spans="2:6" ht="15">
      <c r="B192" s="89">
        <v>279</v>
      </c>
      <c r="D192" s="89" t="s">
        <v>136</v>
      </c>
      <c r="E192" s="130" t="s">
        <v>400</v>
      </c>
      <c r="F192" s="103"/>
    </row>
    <row r="193" spans="2:6" ht="15">
      <c r="B193" s="89">
        <v>27901</v>
      </c>
      <c r="C193" s="89" t="s">
        <v>875</v>
      </c>
      <c r="D193" s="89" t="s">
        <v>876</v>
      </c>
      <c r="E193" s="130" t="s">
        <v>400</v>
      </c>
      <c r="F193" s="103"/>
    </row>
    <row r="194" spans="2:6" ht="15">
      <c r="B194" s="89">
        <v>280</v>
      </c>
      <c r="D194" s="89" t="s">
        <v>131</v>
      </c>
      <c r="E194" s="130" t="s">
        <v>659</v>
      </c>
      <c r="F194" s="103"/>
    </row>
    <row r="195" spans="2:6" ht="15">
      <c r="B195" s="89">
        <v>28001</v>
      </c>
      <c r="C195" s="89" t="s">
        <v>849</v>
      </c>
      <c r="D195" s="89" t="s">
        <v>877</v>
      </c>
      <c r="E195" s="130" t="s">
        <v>878</v>
      </c>
      <c r="F195" s="103"/>
    </row>
    <row r="196" spans="2:6" ht="15">
      <c r="B196" s="89">
        <v>281</v>
      </c>
      <c r="D196" s="89" t="s">
        <v>129</v>
      </c>
      <c r="E196" s="130" t="s">
        <v>660</v>
      </c>
      <c r="F196" s="103"/>
    </row>
    <row r="197" spans="2:6" ht="15">
      <c r="B197" s="89">
        <v>28101</v>
      </c>
      <c r="C197" s="89" t="s">
        <v>875</v>
      </c>
      <c r="D197" s="89" t="s">
        <v>879</v>
      </c>
      <c r="E197" s="130" t="s">
        <v>823</v>
      </c>
      <c r="F197" s="103"/>
    </row>
    <row r="198" spans="2:6" ht="15">
      <c r="B198" s="89">
        <v>282</v>
      </c>
      <c r="D198" s="89" t="s">
        <v>401</v>
      </c>
      <c r="E198" s="130" t="s">
        <v>661</v>
      </c>
      <c r="F198" s="103"/>
    </row>
    <row r="199" spans="2:6" ht="15">
      <c r="B199" s="89">
        <v>283</v>
      </c>
      <c r="D199" s="89" t="s">
        <v>259</v>
      </c>
      <c r="E199" s="130" t="s">
        <v>662</v>
      </c>
      <c r="F199" s="103"/>
    </row>
    <row r="200" spans="2:6" ht="15">
      <c r="B200" s="89">
        <v>284</v>
      </c>
      <c r="D200" s="89" t="s">
        <v>260</v>
      </c>
      <c r="E200" s="130" t="s">
        <v>663</v>
      </c>
      <c r="F200" s="103"/>
    </row>
    <row r="201" spans="2:6" ht="15">
      <c r="B201" s="89">
        <v>285</v>
      </c>
      <c r="D201" s="89" t="s">
        <v>261</v>
      </c>
      <c r="E201" s="130" t="s">
        <v>664</v>
      </c>
      <c r="F201" s="103"/>
    </row>
    <row r="202" spans="2:6" ht="15">
      <c r="B202" s="89">
        <v>286</v>
      </c>
      <c r="D202" s="89" t="s">
        <v>402</v>
      </c>
      <c r="E202" s="130" t="s">
        <v>665</v>
      </c>
      <c r="F202" s="103"/>
    </row>
    <row r="203" spans="2:6" ht="15">
      <c r="B203" s="89">
        <v>287</v>
      </c>
      <c r="D203" s="89" t="s">
        <v>403</v>
      </c>
      <c r="E203" s="130" t="s">
        <v>666</v>
      </c>
      <c r="F203" s="103"/>
    </row>
    <row r="204" spans="2:6" ht="15">
      <c r="B204" s="89">
        <v>288</v>
      </c>
      <c r="D204" s="89" t="s">
        <v>262</v>
      </c>
      <c r="E204" s="130" t="s">
        <v>404</v>
      </c>
      <c r="F204" s="103"/>
    </row>
    <row r="205" spans="2:6" ht="15">
      <c r="B205" s="89">
        <v>289</v>
      </c>
      <c r="D205" s="89" t="s">
        <v>151</v>
      </c>
      <c r="E205" s="130" t="s">
        <v>667</v>
      </c>
      <c r="F205" s="103"/>
    </row>
    <row r="206" spans="2:6" ht="15">
      <c r="B206" s="89">
        <v>290</v>
      </c>
      <c r="D206" s="89" t="s">
        <v>263</v>
      </c>
      <c r="E206" s="130" t="s">
        <v>405</v>
      </c>
      <c r="F206" s="103"/>
    </row>
    <row r="207" spans="2:6" ht="15">
      <c r="B207" s="89">
        <v>291</v>
      </c>
      <c r="D207" s="89" t="s">
        <v>152</v>
      </c>
      <c r="E207" s="130" t="s">
        <v>668</v>
      </c>
      <c r="F207" s="103"/>
    </row>
    <row r="208" spans="2:6" ht="15">
      <c r="B208" s="89">
        <v>292</v>
      </c>
      <c r="D208" s="89" t="s">
        <v>406</v>
      </c>
      <c r="E208" s="130" t="s">
        <v>407</v>
      </c>
      <c r="F208" s="103"/>
    </row>
    <row r="209" spans="2:6" ht="15">
      <c r="B209" s="89">
        <v>293</v>
      </c>
      <c r="D209" s="89" t="s">
        <v>335</v>
      </c>
      <c r="E209" s="130" t="s">
        <v>669</v>
      </c>
      <c r="F209" s="103"/>
    </row>
    <row r="210" spans="2:6" ht="15">
      <c r="B210" s="89">
        <v>294</v>
      </c>
      <c r="D210" s="89" t="s">
        <v>264</v>
      </c>
      <c r="E210" s="130" t="s">
        <v>332</v>
      </c>
      <c r="F210" s="103"/>
    </row>
    <row r="211" spans="2:6" ht="15">
      <c r="B211" s="89">
        <v>295</v>
      </c>
      <c r="D211" s="89" t="s">
        <v>160</v>
      </c>
      <c r="E211" s="130" t="s">
        <v>670</v>
      </c>
      <c r="F211" s="103"/>
    </row>
    <row r="212" spans="2:6" ht="15">
      <c r="B212" s="89">
        <v>296</v>
      </c>
      <c r="D212" s="89" t="s">
        <v>155</v>
      </c>
      <c r="E212" s="130" t="s">
        <v>408</v>
      </c>
      <c r="F212" s="103"/>
    </row>
    <row r="213" spans="2:6" ht="15">
      <c r="B213" s="89">
        <v>297</v>
      </c>
      <c r="D213" s="89" t="s">
        <v>409</v>
      </c>
      <c r="E213" s="130" t="s">
        <v>671</v>
      </c>
      <c r="F213" s="103"/>
    </row>
    <row r="214" spans="2:6" ht="15">
      <c r="B214" s="89">
        <v>298</v>
      </c>
      <c r="D214" s="89" t="s">
        <v>336</v>
      </c>
      <c r="E214" s="130" t="s">
        <v>672</v>
      </c>
      <c r="F214" s="103"/>
    </row>
    <row r="215" spans="2:6" ht="15">
      <c r="B215" s="89">
        <v>299</v>
      </c>
      <c r="D215" s="89" t="s">
        <v>880</v>
      </c>
      <c r="E215" s="89" t="s">
        <v>881</v>
      </c>
      <c r="F215" s="103"/>
    </row>
    <row r="216" spans="2:6" ht="15">
      <c r="B216" s="89">
        <v>300</v>
      </c>
      <c r="D216" s="89" t="s">
        <v>147</v>
      </c>
      <c r="E216" s="130" t="s">
        <v>410</v>
      </c>
      <c r="F216" s="103"/>
    </row>
    <row r="217" spans="2:6" ht="38.25">
      <c r="B217" s="89">
        <v>301</v>
      </c>
      <c r="D217" s="89" t="s">
        <v>411</v>
      </c>
      <c r="E217" s="130" t="s">
        <v>673</v>
      </c>
      <c r="F217" s="103"/>
    </row>
    <row r="218" spans="2:6" ht="15">
      <c r="B218" s="89">
        <v>302</v>
      </c>
      <c r="D218" s="89" t="s">
        <v>154</v>
      </c>
      <c r="E218" s="130" t="s">
        <v>674</v>
      </c>
      <c r="F218" s="103"/>
    </row>
    <row r="219" spans="2:6" ht="25.5">
      <c r="B219" s="89">
        <v>303</v>
      </c>
      <c r="D219" s="89" t="s">
        <v>265</v>
      </c>
      <c r="E219" s="130" t="s">
        <v>675</v>
      </c>
      <c r="F219" s="103"/>
    </row>
    <row r="220" spans="2:6" ht="15">
      <c r="B220" s="89">
        <v>304</v>
      </c>
      <c r="D220" s="89" t="s">
        <v>120</v>
      </c>
      <c r="E220" s="130" t="s">
        <v>412</v>
      </c>
      <c r="F220" s="104"/>
    </row>
    <row r="221" spans="2:6" ht="15">
      <c r="B221" s="89">
        <v>305</v>
      </c>
      <c r="D221" s="89" t="s">
        <v>266</v>
      </c>
      <c r="E221" s="130" t="s">
        <v>676</v>
      </c>
      <c r="F221" s="103"/>
    </row>
    <row r="222" spans="2:6" ht="15">
      <c r="B222" s="89">
        <v>306</v>
      </c>
      <c r="D222" s="89" t="s">
        <v>174</v>
      </c>
      <c r="E222" s="130" t="s">
        <v>413</v>
      </c>
      <c r="F222" s="103"/>
    </row>
    <row r="223" spans="2:6" ht="15">
      <c r="B223" s="89">
        <v>307</v>
      </c>
      <c r="D223" s="89" t="s">
        <v>159</v>
      </c>
      <c r="E223" s="130" t="s">
        <v>414</v>
      </c>
      <c r="F223" s="103"/>
    </row>
    <row r="224" spans="2:6" ht="15">
      <c r="B224" s="89">
        <v>308</v>
      </c>
      <c r="D224" s="89" t="s">
        <v>166</v>
      </c>
      <c r="E224" s="130" t="s">
        <v>882</v>
      </c>
      <c r="F224" s="103"/>
    </row>
    <row r="225" spans="2:6" ht="15">
      <c r="B225" s="89">
        <v>309</v>
      </c>
      <c r="D225" s="89" t="s">
        <v>267</v>
      </c>
      <c r="E225" s="130" t="s">
        <v>677</v>
      </c>
      <c r="F225" s="103"/>
    </row>
    <row r="226" spans="2:6" ht="15">
      <c r="B226" s="89">
        <v>310</v>
      </c>
      <c r="D226" s="89" t="s">
        <v>268</v>
      </c>
      <c r="E226" s="130" t="s">
        <v>678</v>
      </c>
      <c r="F226" s="103"/>
    </row>
    <row r="227" spans="2:6" ht="15">
      <c r="B227" s="89">
        <v>311</v>
      </c>
      <c r="D227" s="89" t="s">
        <v>415</v>
      </c>
      <c r="E227" s="130" t="s">
        <v>679</v>
      </c>
      <c r="F227" s="103"/>
    </row>
    <row r="228" spans="2:6" ht="15">
      <c r="B228" s="89">
        <v>312</v>
      </c>
      <c r="D228" s="89" t="s">
        <v>416</v>
      </c>
      <c r="F228" s="103"/>
    </row>
    <row r="229" spans="2:6" ht="13.5">
      <c r="B229" s="89">
        <v>313</v>
      </c>
      <c r="D229" s="89" t="s">
        <v>883</v>
      </c>
      <c r="E229" s="130" t="s">
        <v>680</v>
      </c>
      <c r="F229" s="105"/>
    </row>
    <row r="230" spans="2:6" ht="15">
      <c r="B230" s="89">
        <v>314</v>
      </c>
      <c r="D230" s="89" t="s">
        <v>884</v>
      </c>
      <c r="E230" s="130" t="s">
        <v>681</v>
      </c>
      <c r="F230" s="103"/>
    </row>
    <row r="231" spans="2:6" ht="15">
      <c r="B231" s="89">
        <v>315</v>
      </c>
      <c r="D231" s="89" t="s">
        <v>885</v>
      </c>
      <c r="E231" s="130" t="s">
        <v>682</v>
      </c>
      <c r="F231" s="103"/>
    </row>
    <row r="232" spans="2:6" ht="25.5">
      <c r="B232" s="89">
        <v>316</v>
      </c>
      <c r="D232" s="89" t="s">
        <v>683</v>
      </c>
      <c r="E232" s="130" t="s">
        <v>684</v>
      </c>
      <c r="F232" s="103"/>
    </row>
    <row r="233" spans="2:6" ht="159" customHeight="1">
      <c r="B233" s="89">
        <v>317</v>
      </c>
      <c r="D233" s="89" t="s">
        <v>269</v>
      </c>
      <c r="E233" s="130" t="s">
        <v>685</v>
      </c>
      <c r="F233" s="103"/>
    </row>
    <row r="234" spans="2:6" ht="15">
      <c r="B234" s="89">
        <v>318</v>
      </c>
      <c r="D234" s="89" t="s">
        <v>270</v>
      </c>
      <c r="E234" s="130" t="s">
        <v>686</v>
      </c>
      <c r="F234" s="103"/>
    </row>
    <row r="235" spans="2:6" ht="15">
      <c r="B235" s="89">
        <v>319</v>
      </c>
      <c r="D235" s="89" t="s">
        <v>886</v>
      </c>
      <c r="E235" s="130" t="s">
        <v>887</v>
      </c>
      <c r="F235" s="103"/>
    </row>
    <row r="236" spans="2:6" ht="15">
      <c r="B236" s="89">
        <v>320</v>
      </c>
      <c r="D236" s="89" t="s">
        <v>146</v>
      </c>
      <c r="E236" s="130" t="s">
        <v>417</v>
      </c>
      <c r="F236" s="103"/>
    </row>
    <row r="237" spans="2:6" ht="15">
      <c r="B237" s="89">
        <v>321</v>
      </c>
      <c r="D237" s="89" t="s">
        <v>271</v>
      </c>
      <c r="E237" s="130" t="s">
        <v>418</v>
      </c>
      <c r="F237" s="103"/>
    </row>
    <row r="238" spans="2:6" ht="15">
      <c r="B238" s="89">
        <v>322</v>
      </c>
      <c r="D238" s="89" t="s">
        <v>272</v>
      </c>
      <c r="E238" s="130" t="s">
        <v>687</v>
      </c>
      <c r="F238" s="103"/>
    </row>
    <row r="239" spans="2:6" ht="15">
      <c r="B239" s="89">
        <v>323</v>
      </c>
      <c r="D239" s="89" t="s">
        <v>273</v>
      </c>
      <c r="E239" s="130" t="s">
        <v>688</v>
      </c>
      <c r="F239" s="103"/>
    </row>
    <row r="240" spans="2:6" ht="15">
      <c r="B240" s="89">
        <v>324</v>
      </c>
      <c r="D240" s="89" t="s">
        <v>274</v>
      </c>
      <c r="E240" s="130" t="s">
        <v>419</v>
      </c>
      <c r="F240" s="103"/>
    </row>
    <row r="241" spans="2:6" ht="15">
      <c r="B241" s="89">
        <v>325</v>
      </c>
      <c r="D241" s="89" t="s">
        <v>420</v>
      </c>
      <c r="E241" s="130" t="s">
        <v>689</v>
      </c>
      <c r="F241" s="103"/>
    </row>
    <row r="242" spans="2:6" ht="15">
      <c r="B242" s="89">
        <v>326</v>
      </c>
      <c r="D242" s="89" t="s">
        <v>126</v>
      </c>
      <c r="E242" s="130" t="s">
        <v>421</v>
      </c>
      <c r="F242" s="103"/>
    </row>
    <row r="243" spans="2:6" ht="15">
      <c r="B243" s="89">
        <v>327</v>
      </c>
      <c r="D243" s="89" t="s">
        <v>156</v>
      </c>
      <c r="E243" s="130" t="s">
        <v>422</v>
      </c>
      <c r="F243" s="103"/>
    </row>
    <row r="244" spans="2:6" ht="15">
      <c r="B244" s="89">
        <v>328</v>
      </c>
      <c r="D244" s="89" t="s">
        <v>423</v>
      </c>
      <c r="E244" s="130" t="s">
        <v>690</v>
      </c>
      <c r="F244" s="103"/>
    </row>
    <row r="245" spans="2:6" ht="15">
      <c r="B245" s="89">
        <v>329</v>
      </c>
      <c r="D245" s="89" t="s">
        <v>275</v>
      </c>
      <c r="E245" s="130" t="s">
        <v>691</v>
      </c>
      <c r="F245" s="103"/>
    </row>
    <row r="246" spans="2:6" ht="25.5">
      <c r="B246" s="89">
        <v>330</v>
      </c>
      <c r="D246" s="89" t="s">
        <v>424</v>
      </c>
      <c r="E246" s="130" t="s">
        <v>692</v>
      </c>
      <c r="F246" s="103"/>
    </row>
    <row r="247" spans="2:6" ht="15">
      <c r="B247" s="89">
        <v>331</v>
      </c>
      <c r="D247" s="89" t="s">
        <v>276</v>
      </c>
      <c r="E247" s="130" t="s">
        <v>693</v>
      </c>
      <c r="F247" s="103"/>
    </row>
    <row r="248" spans="2:6" ht="15">
      <c r="B248" s="89">
        <v>332</v>
      </c>
      <c r="D248" s="89" t="s">
        <v>175</v>
      </c>
      <c r="E248" s="130" t="s">
        <v>425</v>
      </c>
      <c r="F248" s="103"/>
    </row>
    <row r="249" spans="2:6" ht="15">
      <c r="B249" s="89">
        <v>333</v>
      </c>
      <c r="D249" s="89" t="s">
        <v>114</v>
      </c>
      <c r="E249" s="130" t="s">
        <v>426</v>
      </c>
      <c r="F249" s="103"/>
    </row>
    <row r="250" spans="2:6" ht="15">
      <c r="B250" s="89">
        <v>334</v>
      </c>
      <c r="D250" s="89" t="s">
        <v>427</v>
      </c>
      <c r="E250" s="130" t="s">
        <v>694</v>
      </c>
      <c r="F250" s="103"/>
    </row>
    <row r="251" spans="2:6" ht="15">
      <c r="B251" s="89">
        <v>335</v>
      </c>
      <c r="D251" s="89" t="s">
        <v>277</v>
      </c>
      <c r="E251" s="130" t="s">
        <v>428</v>
      </c>
      <c r="F251" s="103"/>
    </row>
    <row r="252" spans="2:6" ht="15">
      <c r="B252" s="89">
        <v>336</v>
      </c>
      <c r="D252" s="89" t="s">
        <v>163</v>
      </c>
      <c r="E252" s="130" t="s">
        <v>695</v>
      </c>
      <c r="F252" s="103"/>
    </row>
    <row r="253" spans="2:6" ht="51">
      <c r="B253" s="89">
        <v>337</v>
      </c>
      <c r="D253" s="89" t="s">
        <v>278</v>
      </c>
      <c r="E253" s="130" t="s">
        <v>696</v>
      </c>
      <c r="F253" s="103"/>
    </row>
    <row r="254" spans="2:6" ht="15">
      <c r="B254" s="89">
        <v>338</v>
      </c>
      <c r="D254" s="89" t="s">
        <v>279</v>
      </c>
      <c r="E254" s="89" t="s">
        <v>697</v>
      </c>
      <c r="F254" s="103"/>
    </row>
    <row r="255" spans="2:6" ht="25.5">
      <c r="B255" s="89">
        <v>339</v>
      </c>
      <c r="D255" s="89" t="s">
        <v>429</v>
      </c>
      <c r="E255" s="130" t="s">
        <v>698</v>
      </c>
      <c r="F255" s="103"/>
    </row>
    <row r="256" spans="2:6" ht="15">
      <c r="B256" s="89">
        <v>340</v>
      </c>
      <c r="D256" s="89" t="s">
        <v>430</v>
      </c>
      <c r="E256" s="89" t="s">
        <v>699</v>
      </c>
      <c r="F256" s="103"/>
    </row>
    <row r="257" spans="2:8" ht="15">
      <c r="B257" s="89">
        <v>341</v>
      </c>
      <c r="D257" s="89" t="s">
        <v>431</v>
      </c>
      <c r="E257" s="89" t="s">
        <v>700</v>
      </c>
      <c r="F257" s="103"/>
    </row>
    <row r="258" spans="2:8" ht="25.5">
      <c r="B258" s="89">
        <v>342</v>
      </c>
      <c r="D258" s="89" t="s">
        <v>432</v>
      </c>
      <c r="E258" s="130" t="s">
        <v>701</v>
      </c>
      <c r="F258" s="103"/>
    </row>
    <row r="259" spans="2:8" ht="25.5">
      <c r="B259" s="89">
        <v>343</v>
      </c>
      <c r="D259" s="89" t="s">
        <v>433</v>
      </c>
      <c r="E259" s="130" t="s">
        <v>702</v>
      </c>
      <c r="F259" s="103"/>
    </row>
    <row r="260" spans="2:8" ht="25.5">
      <c r="B260" s="89">
        <v>344</v>
      </c>
      <c r="D260" s="89" t="s">
        <v>434</v>
      </c>
      <c r="E260" s="130" t="s">
        <v>703</v>
      </c>
      <c r="F260" s="103"/>
    </row>
    <row r="261" spans="2:8" ht="25.5">
      <c r="B261" s="89">
        <v>345</v>
      </c>
      <c r="D261" s="89" t="s">
        <v>435</v>
      </c>
      <c r="E261" s="130" t="s">
        <v>704</v>
      </c>
      <c r="F261" s="103"/>
    </row>
    <row r="262" spans="2:8" ht="25.5">
      <c r="B262" s="89">
        <v>346</v>
      </c>
      <c r="D262" s="89" t="s">
        <v>436</v>
      </c>
      <c r="E262" s="89" t="s">
        <v>705</v>
      </c>
      <c r="F262" s="103"/>
    </row>
    <row r="263" spans="2:8" ht="25.5">
      <c r="B263" s="89">
        <v>347</v>
      </c>
      <c r="D263" s="89" t="s">
        <v>437</v>
      </c>
      <c r="E263" s="130" t="s">
        <v>706</v>
      </c>
      <c r="F263" s="103"/>
    </row>
    <row r="264" spans="2:8" ht="25.5">
      <c r="B264" s="89">
        <v>348</v>
      </c>
      <c r="D264" s="89" t="s">
        <v>438</v>
      </c>
      <c r="E264" s="130" t="s">
        <v>707</v>
      </c>
      <c r="F264" s="103"/>
    </row>
    <row r="265" spans="2:8" ht="25.5">
      <c r="B265" s="89">
        <v>349</v>
      </c>
      <c r="D265" s="89" t="s">
        <v>439</v>
      </c>
      <c r="E265" s="130" t="s">
        <v>708</v>
      </c>
      <c r="F265" s="103"/>
    </row>
    <row r="266" spans="2:8" ht="25.5">
      <c r="B266" s="89">
        <v>350</v>
      </c>
      <c r="D266" s="89" t="s">
        <v>440</v>
      </c>
      <c r="E266" s="130" t="s">
        <v>709</v>
      </c>
      <c r="F266" s="103"/>
    </row>
    <row r="267" spans="2:8" ht="25.5">
      <c r="B267" s="89">
        <v>351</v>
      </c>
      <c r="D267" s="89" t="s">
        <v>441</v>
      </c>
      <c r="E267" s="130" t="s">
        <v>710</v>
      </c>
      <c r="F267" s="103"/>
    </row>
    <row r="268" spans="2:8" ht="25.5">
      <c r="B268" s="89">
        <v>352</v>
      </c>
      <c r="D268" s="89" t="s">
        <v>442</v>
      </c>
      <c r="E268" s="130" t="s">
        <v>711</v>
      </c>
      <c r="F268" s="103"/>
      <c r="G268" s="91"/>
      <c r="H268" s="91"/>
    </row>
    <row r="269" spans="2:8" ht="25.5">
      <c r="B269" s="89">
        <v>353</v>
      </c>
      <c r="D269" s="89" t="s">
        <v>443</v>
      </c>
      <c r="E269" s="130" t="s">
        <v>712</v>
      </c>
      <c r="F269" s="103"/>
    </row>
    <row r="270" spans="2:8" ht="25.5">
      <c r="B270" s="89">
        <v>354</v>
      </c>
      <c r="D270" s="89" t="s">
        <v>444</v>
      </c>
      <c r="E270" s="130" t="s">
        <v>713</v>
      </c>
      <c r="F270" s="103"/>
    </row>
    <row r="271" spans="2:8" ht="25.5">
      <c r="B271" s="89">
        <v>355</v>
      </c>
      <c r="D271" s="89" t="s">
        <v>445</v>
      </c>
      <c r="E271" s="130" t="s">
        <v>714</v>
      </c>
      <c r="F271" s="103"/>
    </row>
    <row r="272" spans="2:8" ht="25.5">
      <c r="B272" s="89">
        <v>356</v>
      </c>
      <c r="D272" s="89" t="s">
        <v>446</v>
      </c>
      <c r="E272" s="130" t="s">
        <v>715</v>
      </c>
      <c r="F272" s="103"/>
    </row>
    <row r="273" spans="2:6" ht="25.5">
      <c r="B273" s="89">
        <v>357</v>
      </c>
      <c r="D273" s="89" t="s">
        <v>447</v>
      </c>
      <c r="E273" s="130" t="s">
        <v>716</v>
      </c>
      <c r="F273" s="103"/>
    </row>
    <row r="274" spans="2:6" ht="25.5">
      <c r="B274" s="89">
        <v>358</v>
      </c>
      <c r="D274" s="89" t="s">
        <v>448</v>
      </c>
      <c r="E274" s="89" t="s">
        <v>717</v>
      </c>
      <c r="F274" s="103"/>
    </row>
    <row r="275" spans="2:6" ht="25.5">
      <c r="B275" s="89">
        <v>359</v>
      </c>
      <c r="D275" s="89" t="s">
        <v>449</v>
      </c>
      <c r="E275" s="89" t="s">
        <v>718</v>
      </c>
      <c r="F275" s="103"/>
    </row>
    <row r="276" spans="2:6" ht="25.5">
      <c r="B276" s="89">
        <v>360</v>
      </c>
      <c r="D276" s="89" t="s">
        <v>450</v>
      </c>
      <c r="E276" s="130" t="s">
        <v>719</v>
      </c>
      <c r="F276" s="103"/>
    </row>
    <row r="277" spans="2:6" ht="25.5">
      <c r="B277" s="89">
        <v>361</v>
      </c>
      <c r="D277" s="89" t="s">
        <v>888</v>
      </c>
      <c r="E277" s="89" t="s">
        <v>720</v>
      </c>
      <c r="F277" s="103"/>
    </row>
    <row r="278" spans="2:6" ht="25.5">
      <c r="B278" s="89">
        <v>362</v>
      </c>
      <c r="D278" s="89" t="s">
        <v>888</v>
      </c>
      <c r="E278" s="89" t="s">
        <v>720</v>
      </c>
      <c r="F278" s="103"/>
    </row>
    <row r="279" spans="2:6" ht="25.5">
      <c r="B279" s="89">
        <v>363</v>
      </c>
      <c r="D279" s="89" t="s">
        <v>451</v>
      </c>
      <c r="E279" s="89" t="s">
        <v>721</v>
      </c>
      <c r="F279" s="103"/>
    </row>
    <row r="280" spans="2:6" ht="25.5">
      <c r="B280" s="89">
        <v>364</v>
      </c>
      <c r="D280" s="89" t="s">
        <v>452</v>
      </c>
      <c r="E280" s="89" t="s">
        <v>722</v>
      </c>
      <c r="F280" s="103"/>
    </row>
    <row r="281" spans="2:6" ht="25.5">
      <c r="B281" s="89">
        <v>365</v>
      </c>
      <c r="D281" s="89" t="s">
        <v>453</v>
      </c>
      <c r="E281" s="89" t="s">
        <v>723</v>
      </c>
      <c r="F281" s="103"/>
    </row>
    <row r="282" spans="2:6" ht="25.5">
      <c r="B282" s="89">
        <v>366</v>
      </c>
      <c r="D282" s="89" t="s">
        <v>454</v>
      </c>
      <c r="E282" s="89" t="s">
        <v>724</v>
      </c>
      <c r="F282" s="103"/>
    </row>
    <row r="283" spans="2:6" ht="15">
      <c r="B283" s="89">
        <v>367</v>
      </c>
      <c r="D283" s="89" t="s">
        <v>280</v>
      </c>
      <c r="E283" s="89" t="s">
        <v>725</v>
      </c>
      <c r="F283" s="103"/>
    </row>
    <row r="284" spans="2:6" ht="25.5">
      <c r="B284" s="89">
        <v>368</v>
      </c>
      <c r="D284" s="89" t="s">
        <v>455</v>
      </c>
      <c r="E284" s="89" t="s">
        <v>726</v>
      </c>
      <c r="F284" s="103"/>
    </row>
    <row r="285" spans="2:6" ht="15">
      <c r="B285" s="89">
        <v>369</v>
      </c>
      <c r="D285" s="89" t="s">
        <v>316</v>
      </c>
      <c r="E285" s="130" t="s">
        <v>727</v>
      </c>
      <c r="F285" s="103"/>
    </row>
    <row r="286" spans="2:6" ht="51">
      <c r="B286" s="89">
        <v>370</v>
      </c>
      <c r="D286" s="89" t="s">
        <v>456</v>
      </c>
      <c r="E286" s="130" t="s">
        <v>728</v>
      </c>
      <c r="F286" s="103"/>
    </row>
    <row r="287" spans="2:6" ht="25.5">
      <c r="B287" s="89">
        <v>371</v>
      </c>
      <c r="D287" s="89" t="s">
        <v>281</v>
      </c>
      <c r="E287" s="89" t="s">
        <v>729</v>
      </c>
      <c r="F287" s="103"/>
    </row>
    <row r="288" spans="2:6" ht="25.5">
      <c r="B288" s="89">
        <v>372</v>
      </c>
      <c r="D288" s="89" t="s">
        <v>457</v>
      </c>
      <c r="E288" s="89" t="s">
        <v>730</v>
      </c>
      <c r="F288" s="103"/>
    </row>
    <row r="289" spans="2:6" ht="25.5">
      <c r="B289" s="89">
        <v>373</v>
      </c>
      <c r="D289" s="89" t="s">
        <v>458</v>
      </c>
      <c r="E289" s="89" t="s">
        <v>731</v>
      </c>
      <c r="F289" s="103"/>
    </row>
    <row r="290" spans="2:6" ht="25.5">
      <c r="B290" s="89">
        <v>374</v>
      </c>
      <c r="D290" s="89" t="s">
        <v>459</v>
      </c>
      <c r="E290" s="130" t="s">
        <v>732</v>
      </c>
      <c r="F290" s="103"/>
    </row>
    <row r="291" spans="2:6" ht="25.5">
      <c r="B291" s="89">
        <v>375</v>
      </c>
      <c r="D291" s="89" t="s">
        <v>282</v>
      </c>
      <c r="E291" s="130" t="s">
        <v>733</v>
      </c>
      <c r="F291" s="103"/>
    </row>
    <row r="292" spans="2:6" ht="15">
      <c r="B292" s="89">
        <v>376</v>
      </c>
      <c r="D292" s="89" t="s">
        <v>283</v>
      </c>
      <c r="E292" s="130" t="s">
        <v>734</v>
      </c>
      <c r="F292" s="103"/>
    </row>
    <row r="293" spans="2:6" ht="13.5">
      <c r="B293" s="89">
        <v>377</v>
      </c>
      <c r="D293" s="89" t="s">
        <v>317</v>
      </c>
      <c r="E293" s="130" t="s">
        <v>735</v>
      </c>
      <c r="F293" s="101"/>
    </row>
    <row r="294" spans="2:6" ht="15">
      <c r="B294" s="89">
        <v>378</v>
      </c>
      <c r="D294" s="89" t="s">
        <v>460</v>
      </c>
      <c r="E294" s="130" t="s">
        <v>736</v>
      </c>
      <c r="F294" s="103"/>
    </row>
    <row r="295" spans="2:6" ht="15">
      <c r="B295" s="89">
        <v>379</v>
      </c>
      <c r="D295" s="89" t="s">
        <v>284</v>
      </c>
      <c r="E295" s="130" t="s">
        <v>737</v>
      </c>
      <c r="F295" s="103"/>
    </row>
    <row r="296" spans="2:6" ht="15">
      <c r="B296" s="89">
        <v>380</v>
      </c>
      <c r="D296" s="89" t="s">
        <v>285</v>
      </c>
      <c r="E296" s="130" t="s">
        <v>738</v>
      </c>
      <c r="F296" s="103"/>
    </row>
    <row r="297" spans="2:6" ht="15">
      <c r="B297" s="89">
        <v>381</v>
      </c>
      <c r="D297" s="89" t="s">
        <v>286</v>
      </c>
      <c r="E297" s="130" t="s">
        <v>739</v>
      </c>
      <c r="F297" s="103"/>
    </row>
    <row r="298" spans="2:6" ht="24.75">
      <c r="B298" s="89">
        <v>382</v>
      </c>
      <c r="D298" s="89" t="s">
        <v>461</v>
      </c>
      <c r="E298" s="130" t="s">
        <v>740</v>
      </c>
      <c r="F298" s="103"/>
    </row>
    <row r="299" spans="2:6" ht="38.25">
      <c r="B299" s="89">
        <v>383</v>
      </c>
      <c r="D299" s="89" t="s">
        <v>889</v>
      </c>
      <c r="E299" s="89" t="s">
        <v>890</v>
      </c>
      <c r="F299" s="103"/>
    </row>
    <row r="300" spans="2:6" ht="51">
      <c r="B300" s="89">
        <v>384</v>
      </c>
      <c r="D300" s="89" t="s">
        <v>462</v>
      </c>
      <c r="E300" s="130" t="s">
        <v>741</v>
      </c>
      <c r="F300" s="103"/>
    </row>
    <row r="301" spans="2:6" ht="15">
      <c r="B301" s="89">
        <v>385</v>
      </c>
      <c r="D301" s="89" t="s">
        <v>172</v>
      </c>
      <c r="E301" s="130" t="s">
        <v>742</v>
      </c>
      <c r="F301" s="103"/>
    </row>
    <row r="302" spans="2:6" ht="25.5">
      <c r="B302" s="89">
        <v>386</v>
      </c>
      <c r="D302" s="89" t="s">
        <v>463</v>
      </c>
      <c r="E302" s="89" t="s">
        <v>743</v>
      </c>
      <c r="F302" s="103"/>
    </row>
    <row r="303" spans="2:6" ht="15">
      <c r="B303" s="89">
        <v>387</v>
      </c>
      <c r="D303" s="89" t="s">
        <v>287</v>
      </c>
      <c r="E303" s="89" t="s">
        <v>744</v>
      </c>
      <c r="F303" s="103"/>
    </row>
    <row r="304" spans="2:6" ht="15">
      <c r="B304" s="89">
        <v>388</v>
      </c>
      <c r="D304" s="89" t="s">
        <v>288</v>
      </c>
      <c r="E304" s="89" t="s">
        <v>745</v>
      </c>
      <c r="F304" s="103"/>
    </row>
    <row r="305" spans="2:6" ht="25.5">
      <c r="B305" s="89">
        <v>389</v>
      </c>
      <c r="D305" s="89" t="s">
        <v>464</v>
      </c>
      <c r="E305" s="89" t="s">
        <v>746</v>
      </c>
      <c r="F305" s="103"/>
    </row>
    <row r="306" spans="2:6" ht="15">
      <c r="B306" s="89">
        <v>390</v>
      </c>
      <c r="D306" s="89" t="s">
        <v>465</v>
      </c>
      <c r="E306" s="89" t="s">
        <v>747</v>
      </c>
      <c r="F306" s="103"/>
    </row>
    <row r="307" spans="2:6" ht="15">
      <c r="B307" s="89">
        <v>391</v>
      </c>
      <c r="D307" s="89" t="s">
        <v>124</v>
      </c>
      <c r="E307" s="130" t="s">
        <v>748</v>
      </c>
      <c r="F307" s="103"/>
    </row>
    <row r="308" spans="2:6" ht="15">
      <c r="B308" s="89">
        <v>392</v>
      </c>
      <c r="D308" s="89" t="s">
        <v>125</v>
      </c>
      <c r="E308" s="130" t="s">
        <v>749</v>
      </c>
      <c r="F308" s="103"/>
    </row>
    <row r="309" spans="2:6" ht="25.5">
      <c r="B309" s="89">
        <v>393</v>
      </c>
      <c r="D309" s="89" t="s">
        <v>289</v>
      </c>
      <c r="E309" s="89" t="s">
        <v>750</v>
      </c>
      <c r="F309" s="103"/>
    </row>
    <row r="310" spans="2:6" ht="25.5">
      <c r="B310" s="89">
        <v>394</v>
      </c>
      <c r="D310" s="89" t="s">
        <v>466</v>
      </c>
      <c r="E310" s="89" t="s">
        <v>751</v>
      </c>
      <c r="F310" s="103"/>
    </row>
    <row r="311" spans="2:6" ht="15">
      <c r="B311" s="89">
        <v>395</v>
      </c>
      <c r="D311" s="89" t="s">
        <v>467</v>
      </c>
      <c r="E311" s="89" t="s">
        <v>752</v>
      </c>
      <c r="F311" s="103"/>
    </row>
    <row r="312" spans="2:6" ht="15">
      <c r="B312" s="89">
        <v>396</v>
      </c>
      <c r="D312" s="89" t="s">
        <v>468</v>
      </c>
      <c r="E312" s="89" t="s">
        <v>753</v>
      </c>
      <c r="F312" s="103"/>
    </row>
    <row r="313" spans="2:6" ht="25.5">
      <c r="B313" s="89">
        <v>397</v>
      </c>
      <c r="D313" s="89" t="s">
        <v>469</v>
      </c>
      <c r="E313" s="89" t="s">
        <v>754</v>
      </c>
      <c r="F313" s="103"/>
    </row>
    <row r="314" spans="2:6" ht="15">
      <c r="B314" s="89">
        <v>398</v>
      </c>
      <c r="D314" s="89" t="s">
        <v>290</v>
      </c>
      <c r="E314" s="89" t="s">
        <v>755</v>
      </c>
      <c r="F314" s="103"/>
    </row>
    <row r="315" spans="2:6" ht="15">
      <c r="B315" s="89">
        <v>399</v>
      </c>
      <c r="D315" s="89" t="s">
        <v>291</v>
      </c>
      <c r="E315" s="89" t="s">
        <v>756</v>
      </c>
      <c r="F315" s="103"/>
    </row>
    <row r="316" spans="2:6" ht="15">
      <c r="B316" s="89">
        <v>400</v>
      </c>
      <c r="D316" s="89" t="s">
        <v>470</v>
      </c>
      <c r="E316" s="89" t="s">
        <v>757</v>
      </c>
      <c r="F316" s="103"/>
    </row>
    <row r="317" spans="2:6" ht="15">
      <c r="B317" s="89">
        <v>401</v>
      </c>
      <c r="D317" s="89" t="s">
        <v>471</v>
      </c>
      <c r="E317" s="130" t="s">
        <v>758</v>
      </c>
      <c r="F317" s="103"/>
    </row>
    <row r="318" spans="2:6" ht="15">
      <c r="B318" s="89">
        <v>402</v>
      </c>
      <c r="D318" s="89" t="s">
        <v>292</v>
      </c>
      <c r="E318" s="130" t="s">
        <v>759</v>
      </c>
      <c r="F318" s="103"/>
    </row>
    <row r="319" spans="2:6" ht="15">
      <c r="B319" s="89">
        <v>403</v>
      </c>
      <c r="D319" s="89" t="s">
        <v>123</v>
      </c>
      <c r="E319" s="130" t="s">
        <v>760</v>
      </c>
      <c r="F319" s="103"/>
    </row>
    <row r="320" spans="2:6" ht="15">
      <c r="B320" s="89">
        <v>404</v>
      </c>
      <c r="D320" s="89" t="s">
        <v>472</v>
      </c>
      <c r="E320" s="130" t="s">
        <v>761</v>
      </c>
      <c r="F320" s="103"/>
    </row>
    <row r="321" spans="2:6" ht="15">
      <c r="B321" s="89">
        <v>405</v>
      </c>
      <c r="D321" s="89" t="s">
        <v>473</v>
      </c>
      <c r="E321" s="130" t="s">
        <v>762</v>
      </c>
      <c r="F321" s="103"/>
    </row>
    <row r="322" spans="2:6" ht="15">
      <c r="B322" s="89">
        <v>406</v>
      </c>
      <c r="D322" s="89" t="s">
        <v>309</v>
      </c>
      <c r="E322" s="130" t="s">
        <v>763</v>
      </c>
      <c r="F322" s="103"/>
    </row>
    <row r="323" spans="2:6" ht="38.25">
      <c r="B323" s="89">
        <v>407</v>
      </c>
      <c r="D323" s="89" t="s">
        <v>474</v>
      </c>
      <c r="E323" s="130" t="s">
        <v>764</v>
      </c>
      <c r="F323" s="103"/>
    </row>
    <row r="324" spans="2:6" ht="15">
      <c r="B324" s="89">
        <v>408</v>
      </c>
      <c r="D324" s="89" t="s">
        <v>475</v>
      </c>
      <c r="E324" s="130" t="s">
        <v>765</v>
      </c>
      <c r="F324" s="103"/>
    </row>
    <row r="325" spans="2:6" ht="15">
      <c r="B325" s="89">
        <v>409</v>
      </c>
      <c r="D325" s="89" t="s">
        <v>476</v>
      </c>
      <c r="E325" s="130" t="s">
        <v>766</v>
      </c>
      <c r="F325" s="103"/>
    </row>
    <row r="326" spans="2:6" ht="15">
      <c r="B326" s="89">
        <v>410</v>
      </c>
      <c r="D326" s="89" t="s">
        <v>477</v>
      </c>
      <c r="E326" s="130" t="s">
        <v>767</v>
      </c>
      <c r="F326" s="103"/>
    </row>
    <row r="327" spans="2:6" ht="15">
      <c r="B327" s="89">
        <v>411</v>
      </c>
      <c r="D327" s="89" t="s">
        <v>179</v>
      </c>
      <c r="E327" s="130" t="s">
        <v>478</v>
      </c>
      <c r="F327" s="103"/>
    </row>
    <row r="328" spans="2:6" ht="15">
      <c r="B328" s="89">
        <v>412</v>
      </c>
      <c r="D328" s="89" t="s">
        <v>479</v>
      </c>
      <c r="E328" s="89" t="s">
        <v>768</v>
      </c>
      <c r="F328" s="103"/>
    </row>
    <row r="329" spans="2:6" ht="15">
      <c r="B329" s="89">
        <v>413</v>
      </c>
      <c r="D329" s="89" t="s">
        <v>293</v>
      </c>
      <c r="E329" s="89" t="s">
        <v>769</v>
      </c>
      <c r="F329" s="104"/>
    </row>
    <row r="330" spans="2:6" ht="51">
      <c r="B330" s="89">
        <v>414</v>
      </c>
      <c r="D330" s="89" t="s">
        <v>891</v>
      </c>
      <c r="E330" s="89" t="s">
        <v>770</v>
      </c>
      <c r="F330" s="103"/>
    </row>
    <row r="331" spans="2:6" ht="15">
      <c r="B331" s="89">
        <v>415</v>
      </c>
      <c r="D331" s="89" t="s">
        <v>181</v>
      </c>
      <c r="E331" s="130" t="s">
        <v>480</v>
      </c>
      <c r="F331" s="103"/>
    </row>
    <row r="332" spans="2:6" ht="15">
      <c r="B332" s="89">
        <v>416</v>
      </c>
      <c r="D332" s="89" t="s">
        <v>481</v>
      </c>
      <c r="E332" s="130" t="s">
        <v>771</v>
      </c>
      <c r="F332" s="104"/>
    </row>
    <row r="333" spans="2:6" ht="15">
      <c r="B333" s="89">
        <v>417</v>
      </c>
      <c r="D333" s="89" t="s">
        <v>294</v>
      </c>
      <c r="E333" s="130" t="s">
        <v>772</v>
      </c>
      <c r="F333" s="104"/>
    </row>
    <row r="334" spans="2:6" ht="38.25">
      <c r="B334" s="89">
        <v>418</v>
      </c>
      <c r="D334" s="89" t="s">
        <v>773</v>
      </c>
      <c r="E334" s="130" t="s">
        <v>774</v>
      </c>
      <c r="F334" s="103"/>
    </row>
    <row r="335" spans="2:6" ht="15">
      <c r="B335" s="89">
        <v>419</v>
      </c>
      <c r="D335" s="89" t="s">
        <v>482</v>
      </c>
      <c r="E335" s="130" t="s">
        <v>775</v>
      </c>
      <c r="F335" s="103"/>
    </row>
    <row r="336" spans="2:6" ht="15">
      <c r="B336" s="89">
        <v>420</v>
      </c>
      <c r="D336" s="89" t="s">
        <v>130</v>
      </c>
      <c r="E336" s="130" t="s">
        <v>776</v>
      </c>
      <c r="F336" s="103"/>
    </row>
    <row r="337" spans="2:6" ht="15">
      <c r="B337" s="89">
        <v>42001</v>
      </c>
      <c r="C337" s="89" t="s">
        <v>892</v>
      </c>
      <c r="D337" s="89" t="s">
        <v>893</v>
      </c>
      <c r="E337" s="130" t="s">
        <v>894</v>
      </c>
      <c r="F337" s="103"/>
    </row>
    <row r="338" spans="2:6" ht="15">
      <c r="B338" s="89">
        <v>421</v>
      </c>
      <c r="D338" s="89" t="s">
        <v>128</v>
      </c>
      <c r="E338" s="130" t="s">
        <v>777</v>
      </c>
      <c r="F338" s="103"/>
    </row>
    <row r="339" spans="2:6" ht="15">
      <c r="B339" s="89">
        <v>42101</v>
      </c>
      <c r="C339" s="89" t="s">
        <v>849</v>
      </c>
      <c r="D339" s="89" t="s">
        <v>895</v>
      </c>
      <c r="E339" s="130" t="s">
        <v>896</v>
      </c>
      <c r="F339" s="103"/>
    </row>
    <row r="340" spans="2:6" ht="15">
      <c r="B340" s="89">
        <v>422</v>
      </c>
      <c r="D340" s="89" t="s">
        <v>177</v>
      </c>
      <c r="E340" s="130" t="s">
        <v>483</v>
      </c>
      <c r="F340" s="103"/>
    </row>
    <row r="341" spans="2:6" ht="25.5">
      <c r="B341" s="89">
        <v>423</v>
      </c>
      <c r="D341" s="89" t="s">
        <v>484</v>
      </c>
      <c r="E341" s="89" t="s">
        <v>778</v>
      </c>
      <c r="F341" s="103"/>
    </row>
    <row r="342" spans="2:6" ht="15">
      <c r="B342" s="89">
        <v>424</v>
      </c>
      <c r="D342" s="89" t="s">
        <v>295</v>
      </c>
      <c r="E342" s="130" t="s">
        <v>485</v>
      </c>
      <c r="F342" s="103"/>
    </row>
    <row r="343" spans="2:6" ht="25.5">
      <c r="B343" s="89">
        <v>425</v>
      </c>
      <c r="D343" s="89" t="s">
        <v>315</v>
      </c>
      <c r="E343" s="130" t="s">
        <v>779</v>
      </c>
      <c r="F343" s="103"/>
    </row>
    <row r="344" spans="2:6" ht="15">
      <c r="B344" s="89">
        <v>426</v>
      </c>
      <c r="D344" s="89" t="s">
        <v>143</v>
      </c>
      <c r="E344" s="130" t="s">
        <v>486</v>
      </c>
      <c r="F344" s="103"/>
    </row>
    <row r="345" spans="2:6" ht="15">
      <c r="B345" s="89">
        <v>427</v>
      </c>
      <c r="D345" s="89" t="s">
        <v>171</v>
      </c>
      <c r="E345" s="130" t="s">
        <v>780</v>
      </c>
      <c r="F345" s="103"/>
    </row>
    <row r="346" spans="2:6" ht="15">
      <c r="B346" s="89">
        <v>428</v>
      </c>
      <c r="D346" s="89" t="s">
        <v>781</v>
      </c>
      <c r="E346" s="130" t="s">
        <v>782</v>
      </c>
      <c r="F346" s="103"/>
    </row>
    <row r="347" spans="2:6" ht="15">
      <c r="B347" s="89">
        <v>429</v>
      </c>
      <c r="D347" s="89" t="s">
        <v>296</v>
      </c>
      <c r="E347" s="130" t="s">
        <v>783</v>
      </c>
      <c r="F347" s="103"/>
    </row>
    <row r="348" spans="2:6" ht="15">
      <c r="B348" s="89">
        <v>430</v>
      </c>
      <c r="D348" s="89" t="s">
        <v>297</v>
      </c>
      <c r="E348" s="130" t="s">
        <v>784</v>
      </c>
      <c r="F348" s="103"/>
    </row>
    <row r="349" spans="2:6" ht="15">
      <c r="B349" s="89">
        <v>431</v>
      </c>
      <c r="D349" s="89" t="s">
        <v>298</v>
      </c>
      <c r="E349" s="130" t="s">
        <v>785</v>
      </c>
      <c r="F349" s="103"/>
    </row>
    <row r="350" spans="2:6" ht="15">
      <c r="B350" s="89">
        <v>432</v>
      </c>
      <c r="D350" s="89" t="s">
        <v>170</v>
      </c>
      <c r="E350" s="130" t="s">
        <v>786</v>
      </c>
      <c r="F350" s="103"/>
    </row>
    <row r="351" spans="2:6" ht="15">
      <c r="B351" s="89">
        <v>433</v>
      </c>
      <c r="D351" s="89" t="s">
        <v>113</v>
      </c>
      <c r="E351" s="89" t="s">
        <v>113</v>
      </c>
      <c r="F351" s="103"/>
    </row>
    <row r="352" spans="2:6" ht="15">
      <c r="B352" s="89">
        <v>434</v>
      </c>
      <c r="D352" s="89" t="s">
        <v>487</v>
      </c>
      <c r="E352" s="89" t="s">
        <v>787</v>
      </c>
      <c r="F352" s="103"/>
    </row>
    <row r="353" spans="2:6" ht="25.5">
      <c r="B353" s="89">
        <v>435</v>
      </c>
      <c r="D353" s="89" t="s">
        <v>488</v>
      </c>
      <c r="E353" s="89" t="s">
        <v>788</v>
      </c>
      <c r="F353" s="103"/>
    </row>
    <row r="354" spans="2:6" ht="15">
      <c r="B354" s="89">
        <v>436</v>
      </c>
      <c r="D354" s="89" t="s">
        <v>299</v>
      </c>
      <c r="E354" s="89" t="s">
        <v>299</v>
      </c>
      <c r="F354" s="103"/>
    </row>
    <row r="355" spans="2:6" ht="38.25">
      <c r="B355" s="89">
        <v>437</v>
      </c>
      <c r="D355" s="89" t="s">
        <v>897</v>
      </c>
      <c r="E355" s="89" t="s">
        <v>524</v>
      </c>
      <c r="F355" s="103"/>
    </row>
    <row r="356" spans="2:6" ht="15">
      <c r="B356" s="89">
        <v>438</v>
      </c>
      <c r="D356" s="89" t="s">
        <v>178</v>
      </c>
      <c r="E356" s="130" t="s">
        <v>489</v>
      </c>
      <c r="F356" s="103"/>
    </row>
    <row r="357" spans="2:6" ht="15">
      <c r="B357" s="89">
        <v>439</v>
      </c>
      <c r="D357" s="89" t="s">
        <v>898</v>
      </c>
      <c r="E357" s="130" t="s">
        <v>490</v>
      </c>
      <c r="F357" s="103"/>
    </row>
    <row r="358" spans="2:6" ht="15">
      <c r="B358" s="89">
        <v>440</v>
      </c>
      <c r="D358" s="89" t="s">
        <v>119</v>
      </c>
      <c r="E358" s="130" t="s">
        <v>491</v>
      </c>
      <c r="F358" s="103"/>
    </row>
    <row r="359" spans="2:6" ht="15">
      <c r="B359" s="89">
        <v>441</v>
      </c>
      <c r="D359" s="89" t="s">
        <v>300</v>
      </c>
      <c r="E359" s="130" t="s">
        <v>789</v>
      </c>
      <c r="F359" s="103"/>
    </row>
    <row r="360" spans="2:6" ht="15">
      <c r="B360" s="89">
        <v>442</v>
      </c>
      <c r="D360" s="89" t="s">
        <v>301</v>
      </c>
      <c r="E360" s="130" t="s">
        <v>790</v>
      </c>
      <c r="F360" s="103"/>
    </row>
    <row r="361" spans="2:6" ht="15">
      <c r="B361" s="89">
        <v>443</v>
      </c>
      <c r="D361" s="89" t="s">
        <v>302</v>
      </c>
      <c r="E361" s="89" t="s">
        <v>791</v>
      </c>
      <c r="F361" s="103"/>
    </row>
    <row r="362" spans="2:6" ht="15">
      <c r="B362" s="89">
        <v>444</v>
      </c>
      <c r="D362" s="89" t="s">
        <v>303</v>
      </c>
      <c r="E362" s="130" t="s">
        <v>492</v>
      </c>
      <c r="F362" s="103"/>
    </row>
    <row r="363" spans="2:6" ht="15">
      <c r="B363" s="89">
        <v>445</v>
      </c>
      <c r="D363" s="89" t="s">
        <v>493</v>
      </c>
      <c r="F363" s="103"/>
    </row>
    <row r="364" spans="2:6" ht="15">
      <c r="B364" s="89">
        <v>446</v>
      </c>
      <c r="D364" s="89" t="s">
        <v>494</v>
      </c>
      <c r="F364" s="104"/>
    </row>
    <row r="365" spans="2:6" ht="15">
      <c r="B365" s="89">
        <v>447</v>
      </c>
      <c r="D365" s="89" t="s">
        <v>495</v>
      </c>
      <c r="E365" s="89" t="s">
        <v>792</v>
      </c>
      <c r="F365" s="103"/>
    </row>
    <row r="366" spans="2:6" ht="15">
      <c r="B366" s="89">
        <v>448</v>
      </c>
      <c r="D366" s="89" t="s">
        <v>899</v>
      </c>
      <c r="E366" s="89" t="s">
        <v>793</v>
      </c>
      <c r="F366" s="103"/>
    </row>
    <row r="367" spans="2:6" ht="15">
      <c r="B367" s="89">
        <v>449</v>
      </c>
      <c r="D367" s="89" t="s">
        <v>496</v>
      </c>
      <c r="E367" s="89" t="s">
        <v>900</v>
      </c>
      <c r="F367" s="103"/>
    </row>
    <row r="368" spans="2:6" ht="15">
      <c r="B368" s="89">
        <v>450</v>
      </c>
      <c r="D368" s="89" t="s">
        <v>819</v>
      </c>
      <c r="E368" s="89" t="s">
        <v>794</v>
      </c>
      <c r="F368" s="103"/>
    </row>
    <row r="369" spans="2:6" ht="15">
      <c r="B369" s="89">
        <v>451</v>
      </c>
      <c r="D369" s="89" t="s">
        <v>497</v>
      </c>
      <c r="E369" s="89" t="s">
        <v>795</v>
      </c>
      <c r="F369" s="103"/>
    </row>
    <row r="370" spans="2:6" ht="25.5">
      <c r="B370" s="89">
        <v>452</v>
      </c>
      <c r="D370" s="89" t="s">
        <v>901</v>
      </c>
      <c r="E370" s="89" t="s">
        <v>902</v>
      </c>
      <c r="F370" s="103"/>
    </row>
    <row r="371" spans="2:6" ht="15">
      <c r="B371" s="89">
        <v>453</v>
      </c>
      <c r="D371" s="89" t="s">
        <v>168</v>
      </c>
      <c r="E371" s="89" t="s">
        <v>168</v>
      </c>
      <c r="F371" s="103"/>
    </row>
    <row r="372" spans="2:6" ht="25.5">
      <c r="B372" s="89">
        <v>454</v>
      </c>
      <c r="D372" s="89" t="s">
        <v>903</v>
      </c>
      <c r="E372" s="130" t="s">
        <v>904</v>
      </c>
      <c r="F372" s="103"/>
    </row>
    <row r="373" spans="2:6" ht="15">
      <c r="B373" s="89">
        <v>455</v>
      </c>
      <c r="D373" s="89" t="s">
        <v>319</v>
      </c>
      <c r="E373" s="130" t="s">
        <v>796</v>
      </c>
      <c r="F373" s="103"/>
    </row>
    <row r="374" spans="2:6" ht="15">
      <c r="B374" s="89">
        <v>456</v>
      </c>
      <c r="D374" s="89" t="s">
        <v>498</v>
      </c>
      <c r="E374" s="89" t="s">
        <v>797</v>
      </c>
      <c r="F374" s="103"/>
    </row>
    <row r="375" spans="2:6" ht="15">
      <c r="B375" s="89">
        <v>457</v>
      </c>
      <c r="D375" s="89" t="s">
        <v>499</v>
      </c>
      <c r="E375" s="89" t="s">
        <v>798</v>
      </c>
      <c r="F375" s="103"/>
    </row>
    <row r="376" spans="2:6" ht="15">
      <c r="B376" s="89">
        <v>458</v>
      </c>
      <c r="D376" s="89" t="s">
        <v>500</v>
      </c>
      <c r="E376" s="89" t="s">
        <v>799</v>
      </c>
      <c r="F376" s="103"/>
    </row>
    <row r="377" spans="2:6" ht="15">
      <c r="B377" s="89">
        <v>459</v>
      </c>
      <c r="D377" s="89" t="s">
        <v>501</v>
      </c>
      <c r="E377" s="130" t="s">
        <v>800</v>
      </c>
      <c r="F377" s="103"/>
    </row>
    <row r="378" spans="2:6" ht="25.5">
      <c r="B378" s="89">
        <v>460</v>
      </c>
      <c r="D378" s="89" t="s">
        <v>502</v>
      </c>
      <c r="E378" s="89" t="s">
        <v>801</v>
      </c>
      <c r="F378" s="103"/>
    </row>
    <row r="379" spans="2:6" ht="15">
      <c r="B379" s="89">
        <v>461</v>
      </c>
      <c r="D379" s="89" t="s">
        <v>503</v>
      </c>
      <c r="E379" s="130" t="s">
        <v>800</v>
      </c>
      <c r="F379" s="103"/>
    </row>
    <row r="380" spans="2:6" ht="15">
      <c r="B380" s="89">
        <v>462</v>
      </c>
      <c r="D380" s="89" t="s">
        <v>312</v>
      </c>
      <c r="E380" s="130" t="s">
        <v>802</v>
      </c>
      <c r="F380" s="103"/>
    </row>
    <row r="381" spans="2:6" ht="15">
      <c r="B381" s="89">
        <v>463</v>
      </c>
      <c r="D381" s="89" t="s">
        <v>141</v>
      </c>
      <c r="E381" s="130" t="s">
        <v>803</v>
      </c>
      <c r="F381" s="103"/>
    </row>
    <row r="382" spans="2:6" ht="15">
      <c r="B382" s="89">
        <v>464</v>
      </c>
      <c r="D382" s="89" t="s">
        <v>504</v>
      </c>
      <c r="E382" s="130" t="s">
        <v>804</v>
      </c>
      <c r="F382" s="103"/>
    </row>
    <row r="383" spans="2:6" ht="15">
      <c r="B383" s="89">
        <v>465</v>
      </c>
      <c r="D383" s="89" t="s">
        <v>142</v>
      </c>
      <c r="E383" s="130" t="s">
        <v>805</v>
      </c>
      <c r="F383" s="103"/>
    </row>
    <row r="384" spans="2:6" ht="25.5">
      <c r="B384" s="89">
        <v>466</v>
      </c>
      <c r="D384" s="89" t="s">
        <v>505</v>
      </c>
      <c r="E384" s="89" t="s">
        <v>806</v>
      </c>
      <c r="F384" s="103"/>
    </row>
    <row r="385" spans="2:6" ht="15">
      <c r="B385" s="89">
        <v>467</v>
      </c>
      <c r="D385" s="89" t="s">
        <v>506</v>
      </c>
      <c r="E385" s="89" t="s">
        <v>799</v>
      </c>
      <c r="F385" s="103"/>
    </row>
    <row r="386" spans="2:6" ht="38.25">
      <c r="B386" s="89">
        <v>468</v>
      </c>
      <c r="D386" s="89" t="s">
        <v>507</v>
      </c>
      <c r="E386" s="130" t="s">
        <v>807</v>
      </c>
      <c r="F386" s="103"/>
    </row>
    <row r="387" spans="2:6" ht="38.25">
      <c r="B387" s="89">
        <v>469</v>
      </c>
      <c r="D387" s="89" t="s">
        <v>508</v>
      </c>
      <c r="E387" s="130" t="s">
        <v>808</v>
      </c>
      <c r="F387" s="103"/>
    </row>
    <row r="388" spans="2:6" ht="13.5">
      <c r="B388" s="89">
        <v>470</v>
      </c>
      <c r="D388" s="89" t="s">
        <v>304</v>
      </c>
      <c r="E388" s="130" t="s">
        <v>809</v>
      </c>
      <c r="F388" s="101"/>
    </row>
    <row r="389" spans="2:6" ht="38.25">
      <c r="B389" s="89">
        <v>471</v>
      </c>
      <c r="D389" s="89" t="s">
        <v>509</v>
      </c>
      <c r="E389" s="130" t="s">
        <v>810</v>
      </c>
    </row>
    <row r="390" spans="2:6">
      <c r="B390" s="89">
        <v>472</v>
      </c>
      <c r="D390" s="89" t="s">
        <v>305</v>
      </c>
      <c r="E390" s="130" t="s">
        <v>811</v>
      </c>
    </row>
    <row r="391" spans="2:6">
      <c r="B391" s="89">
        <v>473</v>
      </c>
      <c r="D391" s="89" t="s">
        <v>306</v>
      </c>
      <c r="E391" s="130" t="s">
        <v>812</v>
      </c>
    </row>
    <row r="392" spans="2:6">
      <c r="B392" s="89">
        <v>474</v>
      </c>
      <c r="D392" s="89" t="s">
        <v>307</v>
      </c>
      <c r="E392" s="89" t="s">
        <v>813</v>
      </c>
    </row>
    <row r="393" spans="2:6">
      <c r="B393" s="89">
        <v>475</v>
      </c>
      <c r="D393" s="89" t="s">
        <v>308</v>
      </c>
      <c r="E393" s="89" t="s">
        <v>814</v>
      </c>
    </row>
    <row r="394" spans="2:6">
      <c r="B394" s="89">
        <v>476</v>
      </c>
      <c r="D394" s="89" t="s">
        <v>510</v>
      </c>
      <c r="E394" s="89" t="s">
        <v>815</v>
      </c>
    </row>
    <row r="395" spans="2:6">
      <c r="B395" s="89">
        <v>477</v>
      </c>
      <c r="D395" s="89" t="s">
        <v>314</v>
      </c>
      <c r="E395" s="130" t="s">
        <v>816</v>
      </c>
    </row>
    <row r="396" spans="2:6" ht="25.5">
      <c r="B396" s="89">
        <v>478</v>
      </c>
      <c r="D396" s="89" t="s">
        <v>905</v>
      </c>
      <c r="E396" s="89" t="s">
        <v>906</v>
      </c>
    </row>
    <row r="397" spans="2:6">
      <c r="B397" s="89">
        <v>479</v>
      </c>
      <c r="D397" s="89" t="s">
        <v>907</v>
      </c>
      <c r="E397" s="89" t="s">
        <v>908</v>
      </c>
    </row>
    <row r="398" spans="2:6">
      <c r="B398" s="89">
        <v>480</v>
      </c>
      <c r="D398" s="89" t="s">
        <v>909</v>
      </c>
      <c r="E398" s="89" t="s">
        <v>910</v>
      </c>
    </row>
    <row r="399" spans="2:6" ht="25.5">
      <c r="B399" s="89">
        <v>481</v>
      </c>
      <c r="D399" s="89" t="s">
        <v>911</v>
      </c>
      <c r="E399" s="89" t="s">
        <v>912</v>
      </c>
    </row>
    <row r="400" spans="2:6" ht="25.5">
      <c r="B400" s="89">
        <v>482</v>
      </c>
      <c r="D400" s="89" t="s">
        <v>913</v>
      </c>
      <c r="E400" s="89" t="s">
        <v>914</v>
      </c>
    </row>
    <row r="401" spans="2:5" ht="25.5">
      <c r="B401" s="89">
        <v>483</v>
      </c>
      <c r="D401" s="89" t="s">
        <v>915</v>
      </c>
      <c r="E401" s="89" t="s">
        <v>916</v>
      </c>
    </row>
    <row r="402" spans="2:5">
      <c r="B402" s="89">
        <v>484</v>
      </c>
      <c r="D402" s="89" t="s">
        <v>917</v>
      </c>
      <c r="E402" s="89" t="s">
        <v>918</v>
      </c>
    </row>
    <row r="403" spans="2:5" ht="25.5">
      <c r="B403" s="89">
        <v>485</v>
      </c>
      <c r="D403" s="89" t="s">
        <v>919</v>
      </c>
      <c r="E403" s="89" t="s">
        <v>920</v>
      </c>
    </row>
    <row r="404" spans="2:5">
      <c r="B404" s="89">
        <v>486</v>
      </c>
      <c r="D404" s="89" t="s">
        <v>921</v>
      </c>
      <c r="E404" s="89" t="s">
        <v>922</v>
      </c>
    </row>
    <row r="405" spans="2:5" ht="38.25">
      <c r="B405" s="89">
        <v>487</v>
      </c>
      <c r="D405" s="89" t="s">
        <v>990</v>
      </c>
      <c r="E405" s="8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금상원</cp:lastModifiedBy>
  <cp:lastPrinted>2015-10-24T14:06:22Z</cp:lastPrinted>
  <dcterms:created xsi:type="dcterms:W3CDTF">2000-03-16T11:25:57Z</dcterms:created>
  <dcterms:modified xsi:type="dcterms:W3CDTF">2019-03-12T01:17:47Z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