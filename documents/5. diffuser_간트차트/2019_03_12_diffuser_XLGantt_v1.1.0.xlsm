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현재_통합_문서"/>
  <mc:AlternateContent xmlns:mc="http://schemas.openxmlformats.org/markup-compatibility/2006">
    <mc:Choice Requires="x15">
      <x15ac:absPath xmlns:x15ac="http://schemas.microsoft.com/office/spreadsheetml/2010/11/ac" url="C:\Users\문은빈\Documents\GitKraken\Sentiment_Diffuser\documents\5. diffuser_간트차트\"/>
    </mc:Choice>
  </mc:AlternateContent>
  <xr:revisionPtr revIDLastSave="0" documentId="13_ncr:1_{192C28E2-8504-4B77-9A1A-614EB0129403}" xr6:coauthVersionLast="36"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S55" i="1"/>
  <c r="DT55" i="1"/>
  <c r="W56" i="1"/>
  <c r="DS56" i="1"/>
  <c r="DT56" i="1"/>
  <c r="W57" i="1"/>
  <c r="EE57" i="1"/>
  <c r="EF57" i="1"/>
  <c r="W58" i="1"/>
  <c r="EF58" i="1"/>
  <c r="EG58" i="1"/>
  <c r="S59" i="1"/>
  <c r="W59" i="1"/>
  <c r="FA59" i="1"/>
  <c r="FB59" i="1"/>
  <c r="S60" i="1"/>
  <c r="W60" i="1"/>
  <c r="FE60" i="1"/>
  <c r="FF60" i="1"/>
  <c r="S61" i="1"/>
  <c r="W61" i="1"/>
  <c r="FB61" i="1"/>
  <c r="FC61" i="1"/>
  <c r="W62" i="1"/>
  <c r="EH62" i="1"/>
  <c r="EI62" i="1"/>
  <c r="W63" i="1"/>
  <c r="DS63" i="1"/>
  <c r="DT63" i="1"/>
  <c r="S64" i="1"/>
  <c r="W64" i="1"/>
  <c r="EV64" i="1"/>
  <c r="EW64" i="1"/>
  <c r="S65" i="1"/>
  <c r="W65" i="1"/>
  <c r="FL65" i="1"/>
  <c r="FM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R5" i="1"/>
  <c r="W7" i="1"/>
  <c r="R9" i="1"/>
  <c r="R13" i="1"/>
  <c r="R18" i="1"/>
  <c r="S21" i="1"/>
  <c r="R22" i="1"/>
  <c r="R26" i="1"/>
  <c r="R30" i="1"/>
  <c r="R34" i="1"/>
  <c r="S37" i="1"/>
  <c r="R38" i="1"/>
  <c r="R42" i="1"/>
  <c r="R46" i="1"/>
  <c r="R50" i="1"/>
  <c r="R54" i="1"/>
  <c r="S57" i="1"/>
  <c r="R58" i="1"/>
  <c r="R62" i="1"/>
  <c r="R66" i="1"/>
  <c r="S69" i="1"/>
  <c r="R70" i="1"/>
  <c r="R74" i="1"/>
  <c r="S77" i="1"/>
  <c r="R78" i="1"/>
  <c r="R82" i="1"/>
  <c r="R86" i="1"/>
  <c r="R90" i="1"/>
  <c r="S5" i="1"/>
  <c r="R6" i="1"/>
  <c r="R10" i="1"/>
  <c r="R14" i="1"/>
  <c r="R19" i="1"/>
  <c r="R23" i="1"/>
  <c r="R27" i="1"/>
  <c r="R31" i="1"/>
  <c r="R35" i="1"/>
  <c r="R39" i="1"/>
  <c r="R43" i="1"/>
  <c r="R47" i="1"/>
  <c r="R51" i="1"/>
  <c r="S54" i="1"/>
  <c r="R55" i="1"/>
  <c r="S58" i="1"/>
  <c r="R59" i="1"/>
  <c r="S62" i="1"/>
  <c r="R63" i="1"/>
  <c r="R67" i="1"/>
  <c r="S70" i="1"/>
  <c r="R71" i="1"/>
  <c r="R75" i="1"/>
  <c r="S78" i="1"/>
  <c r="R79" i="1"/>
  <c r="R83" i="1"/>
  <c r="R87" i="1"/>
  <c r="R91" i="1"/>
  <c r="R7" i="1"/>
  <c r="W9" i="1"/>
  <c r="R11" i="1"/>
  <c r="R15" i="1"/>
  <c r="R20" i="1"/>
  <c r="R24" i="1"/>
  <c r="R28" i="1"/>
  <c r="R32" i="1"/>
  <c r="R36" i="1"/>
  <c r="S39" i="1"/>
  <c r="R40" i="1"/>
  <c r="S43" i="1"/>
  <c r="R44" i="1"/>
  <c r="S47" i="1"/>
  <c r="R48" i="1"/>
  <c r="R52" i="1"/>
  <c r="S55" i="1"/>
  <c r="R56" i="1"/>
  <c r="R60" i="1"/>
  <c r="R64" i="1"/>
  <c r="R68" i="1"/>
  <c r="R72" i="1"/>
  <c r="R76" i="1"/>
  <c r="R80" i="1"/>
  <c r="R84" i="1"/>
  <c r="R88" i="1"/>
  <c r="R92" i="1"/>
  <c r="R93" i="1"/>
  <c r="R8" i="1"/>
  <c r="S11" i="1"/>
  <c r="R12" i="1"/>
  <c r="R17" i="1"/>
  <c r="R21" i="1"/>
  <c r="R25" i="1"/>
  <c r="R29" i="1"/>
  <c r="R33" i="1"/>
  <c r="S36" i="1"/>
  <c r="R37" i="1"/>
  <c r="S40" i="1"/>
  <c r="R41" i="1"/>
  <c r="R45" i="1"/>
  <c r="R49" i="1"/>
  <c r="R53" i="1"/>
  <c r="S56" i="1"/>
  <c r="R57" i="1"/>
  <c r="R61" i="1"/>
  <c r="R65" i="1"/>
  <c r="S68" i="1"/>
  <c r="R69" i="1"/>
  <c r="R73" i="1"/>
  <c r="S76" i="1"/>
  <c r="R77" i="1"/>
  <c r="R81" i="1"/>
  <c r="R85" i="1"/>
  <c r="R89" i="1"/>
  <c r="S81" i="1" l="1"/>
  <c r="S73" i="1"/>
  <c r="S53" i="1"/>
  <c r="S49" i="1"/>
  <c r="S45" i="1"/>
  <c r="S41" i="1"/>
  <c r="S33" i="1"/>
  <c r="S29" i="1"/>
  <c r="S25" i="1"/>
  <c r="S12" i="1"/>
  <c r="S8" i="1"/>
  <c r="S80" i="1"/>
  <c r="S72" i="1"/>
  <c r="S52" i="1"/>
  <c r="S48" i="1"/>
  <c r="S44" i="1"/>
  <c r="S32" i="1"/>
  <c r="S28" i="1"/>
  <c r="S24" i="1"/>
  <c r="S7" i="1"/>
  <c r="S79" i="1"/>
  <c r="S71" i="1"/>
  <c r="S63" i="1"/>
  <c r="S51" i="1"/>
  <c r="S35" i="1"/>
  <c r="S31" i="1"/>
  <c r="S27" i="1"/>
  <c r="S23" i="1"/>
  <c r="S10" i="1"/>
  <c r="S6" i="1"/>
  <c r="S50" i="1"/>
  <c r="S42" i="1"/>
  <c r="S38" i="1"/>
  <c r="S34" i="1"/>
  <c r="S30" i="1"/>
  <c r="S26" i="1"/>
  <c r="S22" i="1"/>
  <c r="S9"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1" i="1"/>
  <c r="D1" i="1"/>
  <c r="AB2"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<sst xmlns="http://schemas.openxmlformats.org/spreadsheetml/2006/main" count="1588" uniqueCount="1188">
  <si>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</si>
  <si>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</si>
  <si>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</si>
  <si>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</si>
  <si>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</si>
  <si>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</si>
  <si>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</si>
  <si>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</si>
  <si>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</si>
  <si>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</si>
  <si>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</si>
  <si>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</si>
  <si>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</si>
  <si>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</si>
  <si>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</si>
  <si>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</si>
  <si>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</si>
  <si>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</si>
  <si>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</si>
  <si>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</si>
  <si>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</si>
  <si>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</si>
  <si>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</si>
  <si>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</si>
  <si>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</si>
  <si>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</si>
  <si>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</si>
  <si>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</si>
  <si>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</si>
  <si>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</si>
  <si>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</si>
  <si>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</si>
  <si>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</si>
  <si>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</si>
  <si>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</si>
  <si>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</si>
  <si>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</si>
  <si>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</si>
  <si>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</si>
  <si>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</si>
  <si>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</si>
  <si>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</si>
  <si>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</si>
  <si>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</si>
  <si>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</si>
  <si>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</si>
  <si>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</si>
  <si>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</si>
  <si>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</si>
  <si>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</si>
  <si>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</si>
  <si>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</si>
  <si>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</si>
  <si>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</si>
  <si>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</si>
  <si>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</si>
  <si>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</si>
  <si>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</si>
  <si>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</si>
  <si>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</si>
  <si>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</si>
  <si>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</si>
  <si>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</si>
  <si>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</si>
  <si>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</si>
  <si>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</si>
  <si>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</si>
  <si>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</si>
  <si>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</si>
  <si>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</si>
  <si>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</si>
  <si>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</si>
  <si>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</si>
  <si>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</si>
  <si>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</si>
  <si>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</si>
  <si>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</si>
  <si>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</si>
  <si>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</si>
  <si>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</si>
  <si>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</si>
  <si>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</si>
  <si>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</si>
  <si>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</si>
  <si>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</si>
  <si>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</si>
  <si>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</si>
  <si>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</si>
  <si>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</si>
  <si>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</si>
  <si>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</si>
  <si>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</si>
  <si>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</si>
  <si>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</si>
  <si>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</si>
  <si>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</si>
  <si>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</si>
  <si>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</si>
  <si>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</si>
  <si>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</si>
  <si>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</si>
  <si>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</si>
  <si>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</si>
  <si>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</si>
  <si>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</si>
  <si>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</si>
  <si>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</si>
  <si>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</si>
  <si>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</si>
  <si>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</si>
  <si>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</si>
  <si>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</si>
  <si>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</si>
  <si>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</si>
  <si>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</si>
  <si>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</si>
  <si>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</si>
  <si>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</si>
  <si>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</si>
  <si>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</si>
  <si>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</si>
  <si>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</si>
  <si>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</si>
  <si>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</si>
  <si>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</si>
  <si>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</si>
  <si>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</si>
  <si>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</si>
  <si>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</si>
  <si>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</si>
  <si>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</si>
  <si>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</si>
  <si>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</si>
  <si>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</si>
  <si>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</si>
  <si>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</si>
  <si>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</si>
  <si>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</si>
  <si>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</si>
  <si>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</si>
  <si>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</si>
  <si>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</si>
  <si>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</si>
  <si>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</si>
  <si>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</si>
  <si>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</si>
  <si>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</si>
  <si>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</si>
  <si>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</si>
  <si>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</si>
  <si>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</si>
  <si>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</si>
  <si>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</si>
  <si>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</si>
  <si>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</si>
  <si>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</si>
  <si>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</si>
  <si>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</si>
  <si>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</si>
  <si>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</si>
  <si>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</si>
  <si>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</si>
  <si>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</si>
  <si>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</si>
  <si>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</si>
  <si>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</si>
  <si>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</si>
  <si>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</si>
  <si>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</si>
  <si>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</si>
  <si>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</si>
  <si>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</si>
  <si>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</si>
  <si>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</si>
  <si>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</si>
  <si>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</si>
  <si>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</si>
  <si>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</si>
  <si>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</si>
  <si>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</si>
  <si>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</si>
  <si>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</si>
  <si>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</si>
  <si>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</si>
  <si>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</si>
  <si>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</si>
  <si>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</si>
  <si>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</si>
  <si>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</si>
  <si>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</si>
  <si>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</si>
  <si>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</si>
  <si>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</si>
  <si>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</si>
  <si>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</si>
  <si>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</si>
  <si>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</si>
  <si>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</si>
  <si>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</si>
  <si>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</si>
  <si>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</si>
  <si>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</si>
  <si>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</si>
  <si>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</si>
  <si>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</si>
  <si>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</si>
  <si>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</si>
  <si>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</si>
  <si>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</si>
  <si>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</si>
  <si>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</si>
  <si>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</si>
  <si>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</si>
  <si>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</si>
  <si>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</si>
  <si>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</si>
  <si>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</si>
  <si>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</si>
  <si>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</si>
  <si>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</si>
  <si>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</si>
  <si>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</si>
  <si>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</si>
  <si>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</si>
  <si>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</si>
  <si>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</si>
  <si>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</si>
  <si>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</si>
  <si>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</si>
  <si>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</si>
  <si>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</si>
  <si>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</si>
  <si>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</si>
  <si>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</si>
  <si>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</si>
  <si>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</si>
  <si>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</si>
  <si>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</si>
  <si>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</si>
  <si>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</si>
  <si>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</si>
  <si>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</si>
  <si>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</si>
  <si>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</si>
  <si>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</si>
  <si>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</si>
  <si>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</si>
  <si>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</si>
  <si>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</si>
  <si>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</si>
  <si>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</si>
  <si>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</si>
  <si>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</si>
  <si>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</si>
  <si>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</si>
  <si>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</si>
  <si>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</si>
  <si>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</si>
  <si>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</si>
  <si>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</si>
  <si>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</si>
  <si>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</si>
  <si>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</si>
  <si>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</si>
  <si>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</si>
  <si>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</si>
  <si>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</si>
  <si>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</si>
  <si>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</si>
  <si>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</si>
  <si>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</si>
  <si>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</si>
  <si>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</si>
  <si>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</si>
  <si>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</si>
  <si>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</si>
  <si>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</si>
  <si>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</si>
  <si>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</si>
  <si>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</si>
  <si>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</si>
  <si>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</si>
  <si>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</si>
  <si>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</si>
  <si>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</si>
  <si>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</si>
  <si>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</si>
  <si>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</si>
  <si>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</si>
  <si>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</si>
  <si>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</si>
  <si>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</si>
  <si>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</si>
  <si>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</si>
  <si>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</si>
  <si>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</si>
  <si>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</si>
  <si>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</si>
  <si>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</si>
  <si>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</si>
  <si>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</si>
  <si>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</si>
  <si>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</si>
  <si>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</si>
  <si>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</si>
  <si>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</si>
  <si>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</si>
  <si>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</si>
  <si>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</si>
  <si>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</si>
  <si>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</si>
  <si>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</si>
  <si>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</si>
  <si>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</si>
  <si>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</si>
  <si>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</si>
  <si>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</si>
  <si>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</si>
  <si>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</si>
  <si>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</si>
  <si>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</si>
  <si>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</si>
  <si>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</si>
  <si>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</si>
  <si>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</si>
  <si>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</si>
  <si>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</si>
  <si>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</si>
  <si>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</si>
  <si>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</si>
  <si>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</si>
  <si>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</si>
  <si>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</si>
  <si>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</si>
  <si>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</si>
  <si>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</si>
  <si>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</si>
  <si>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</si>
  <si>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</si>
  <si>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</si>
  <si>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</si>
  <si>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</si>
  <si>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</si>
  <si>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</si>
  <si>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</si>
  <si>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</si>
  <si>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</si>
  <si>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</si>
  <si>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</si>
  <si>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</si>
  <si>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</si>
  <si>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</si>
  <si>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</si>
  <si>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</si>
  <si>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</si>
  <si>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</si>
  <si>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</si>
  <si>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</si>
  <si>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</si>
  <si>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</si>
  <si>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</si>
  <si>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</si>
  <si>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</si>
  <si>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</si>
  <si>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</si>
  <si>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</si>
  <si>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</si>
  <si>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</si>
  <si>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</si>
  <si>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</si>
  <si>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</si>
  <si>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</si>
  <si>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</si>
  <si>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</si>
  <si>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</si>
  <si>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</si>
  <si>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</si>
  <si>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</si>
  <si>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</si>
  <si>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</si>
  <si>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</si>
  <si>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</si>
  <si>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</si>
  <si>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</si>
  <si>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</si>
  <si>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</si>
  <si>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</si>
  <si>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</si>
  <si>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</si>
  <si>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</si>
  <si>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</si>
  <si>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</si>
  <si>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</si>
  <si>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</si>
  <si>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</si>
  <si>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</si>
  <si>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</si>
  <si>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</si>
  <si>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</si>
  <si>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</si>
  <si>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</si>
  <si>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</si>
  <si>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</si>
  <si>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</si>
  <si>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</si>
  <si>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</si>
  <si>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</si>
  <si>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</si>
  <si>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</si>
  <si>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</si>
  <si>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</si>
  <si>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</si>
  <si>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</si>
  <si>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</si>
  <si>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</si>
  <si>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</si>
  <si>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</si>
  <si>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</si>
  <si>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</si>
  <si>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</si>
  <si>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</si>
  <si>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</si>
  <si>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</si>
  <si>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</si>
  <si>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</si>
  <si>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</si>
  <si>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</si>
  <si>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</si>
  <si>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</si>
  <si>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</si>
  <si>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</si>
  <si>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</si>
  <si>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</si>
  <si>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</si>
  <si>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</si>
  <si>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</si>
  <si>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</si>
  <si>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</si>
  <si>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</si>
  <si>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</si>
  <si>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</si>
  <si>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</si>
  <si>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</si>
  <si>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</si>
  <si>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</si>
  <si>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</si>
  <si>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</si>
  <si>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</si>
  <si>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</si>
  <si>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</si>
  <si>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</si>
  <si>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</si>
  <si>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</si>
  <si>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</si>
  <si>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</si>
  <si>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</si>
  <si>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</si>
  <si>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</si>
  <si>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</si>
  <si>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</si>
  <si>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</si>
  <si>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</si>
  <si>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</si>
  <si>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</si>
  <si>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</si>
  <si>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</si>
  <si>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</si>
  <si>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</si>
  <si>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</si>
  <si>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</si>
  <si>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</si>
  <si>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</si>
  <si>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</si>
  <si>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</si>
  <si>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</si>
  <si>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</si>
  <si>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</si>
  <si>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</si>
  <si>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</si>
  <si>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</si>
  <si>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</si>
  <si>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</si>
  <si>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</si>
  <si>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</si>
  <si>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</si>
  <si>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</si>
  <si>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</si>
  <si>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</si>
  <si>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</si>
  <si>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</si>
  <si>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</si>
  <si>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</si>
  <si>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</si>
  <si>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</si>
  <si>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</si>
  <si>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</si>
  <si>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</si>
  <si>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</si>
  <si>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</si>
  <si>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</si>
  <si>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</si>
  <si>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</si>
  <si>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</si>
  <si>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</si>
  <si>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</si>
  <si>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</si>
  <si>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</si>
  <si>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</si>
  <si>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</si>
  <si>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</si>
  <si>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</si>
  <si>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</si>
  <si>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</si>
  <si>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</si>
  <si>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</si>
  <si>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</si>
  <si>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</si>
  <si>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</si>
  <si>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</si>
  <si>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</si>
  <si>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</si>
  <si>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</si>
  <si>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</si>
  <si>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</si>
  <si>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</si>
  <si>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</si>
  <si>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</si>
  <si>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</si>
  <si>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</si>
  <si>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</si>
  <si>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</si>
  <si>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</si>
  <si>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</si>
  <si>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</si>
  <si>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</si>
  <si>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</si>
  <si>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</si>
  <si>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</si>
  <si>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</si>
  <si>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</si>
  <si>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</si>
  <si>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</si>
  <si>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</si>
  <si>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</si>
  <si>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</si>
  <si>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</si>
  <si>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</si>
  <si>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</si>
  <si>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</si>
  <si>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</si>
  <si>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</si>
  <si>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</si>
  <si>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</si>
  <si>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</si>
  <si>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</si>
  <si>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</si>
  <si>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</si>
  <si>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</si>
  <si>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</si>
  <si>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</si>
  <si>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</si>
  <si>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</si>
  <si>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</si>
  <si>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</si>
  <si>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</si>
  <si>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</si>
  <si>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</si>
  <si>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</si>
  <si>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</si>
  <si>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</si>
  <si>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</si>
  <si>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</si>
  <si>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</si>
  <si>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</si>
  <si>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</si>
  <si>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</si>
  <si>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</si>
  <si>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</si>
  <si>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</si>
  <si>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</si>
  <si>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</si>
  <si>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</si>
  <si>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</si>
  <si>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</si>
  <si>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</si>
  <si>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</si>
  <si>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</si>
  <si>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</si>
  <si>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</si>
  <si>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</si>
  <si>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</si>
  <si>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</si>
  <si>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</si>
  <si>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</si>
  <si>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</si>
  <si>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</si>
  <si>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</si>
  <si>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</si>
  <si>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</si>
  <si>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</si>
  <si>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</si>
  <si>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</si>
  <si>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</si>
  <si>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</si>
  <si>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</si>
  <si>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</si>
  <si>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</si>
  <si>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</si>
  <si>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</si>
  <si>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</si>
  <si>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</si>
  <si>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</si>
  <si>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</si>
  <si>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</si>
  <si>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</si>
  <si>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</si>
  <si>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</si>
  <si>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</si>
  <si>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</si>
  <si>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</si>
  <si>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</si>
  <si>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</si>
  <si>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</si>
  <si>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</si>
  <si>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</si>
  <si>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</si>
  <si>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</si>
  <si>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</si>
  <si>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</si>
  <si>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</si>
  <si>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</si>
  <si>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</si>
  <si>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</si>
  <si>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</si>
  <si>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</si>
  <si>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</si>
  <si>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</si>
  <si>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</si>
  <si>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</si>
  <si>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</si>
  <si>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</si>
  <si>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</si>
  <si>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</si>
  <si>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</si>
  <si>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</si>
  <si>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</si>
  <si>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</si>
  <si>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</si>
  <si>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</si>
  <si>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</si>
  <si>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</si>
  <si>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</si>
  <si>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</si>
  <si>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</si>
  <si>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</si>
  <si>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</si>
  <si>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</si>
  <si>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</si>
  <si>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</si>
  <si>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</si>
  <si>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</si>
  <si>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</si>
  <si>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</si>
  <si>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</si>
  <si>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</si>
  <si>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</si>
  <si>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</si>
  <si>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</si>
  <si>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</si>
  <si>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</si>
  <si>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</si>
  <si>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</si>
  <si>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</si>
  <si>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</si>
  <si>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</si>
  <si>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</si>
  <si>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</si>
  <si>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</si>
  <si>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</si>
  <si>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</si>
  <si>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</si>
  <si>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</si>
  <si>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</si>
  <si>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</si>
  <si>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</si>
  <si>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</si>
  <si>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</si>
  <si>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</si>
  <si>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</si>
  <si>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</si>
  <si>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</si>
  <si>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</si>
  <si>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</si>
  <si>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</si>
  <si>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</si>
  <si>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</si>
  <si>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</si>
  <si>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</si>
  <si>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</si>
  <si>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</si>
  <si>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</si>
  <si>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</si>
  <si>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</si>
  <si>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</si>
  <si>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</si>
  <si>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</si>
  <si>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</si>
  <si>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</si>
  <si>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</si>
  <si>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</si>
  <si>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</si>
  <si>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</si>
  <si>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</si>
  <si>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</si>
  <si>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</si>
  <si>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</si>
  <si>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</si>
  <si>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</si>
  <si>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</si>
  <si>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</si>
  <si>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</si>
  <si>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</si>
  <si>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</si>
  <si>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</si>
  <si>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</si>
  <si>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</si>
  <si>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</si>
  <si>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</si>
  <si>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</si>
  <si>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</si>
  <si>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</si>
  <si>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</si>
  <si>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</si>
  <si>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</si>
  <si>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</si>
  <si>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</si>
  <si>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</si>
  <si>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</si>
  <si>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</si>
  <si>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</si>
  <si>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</si>
  <si>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</si>
  <si>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</si>
  <si>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</si>
  <si>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</si>
  <si>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</si>
  <si>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</si>
  <si>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</si>
  <si>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</si>
  <si>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</si>
  <si>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</si>
  <si>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</si>
  <si>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</si>
  <si>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</si>
  <si>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</si>
  <si>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</si>
  <si>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</si>
  <si>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</si>
  <si>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</si>
  <si>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</si>
  <si>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</si>
  <si>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</si>
  <si>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</si>
  <si>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</si>
  <si>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</si>
  <si>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</si>
  <si>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</si>
  <si>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</si>
  <si>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</si>
  <si>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</si>
  <si>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</si>
  <si>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</si>
  <si>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</si>
  <si>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</si>
  <si>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</si>
  <si>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</si>
  <si>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</si>
  <si>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</si>
  <si>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</si>
  <si>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</si>
  <si>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</si>
  <si>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</si>
  <si>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</si>
  <si>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</si>
  <si>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</si>
  <si>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</si>
  <si>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</si>
  <si>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</si>
  <si>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</si>
  <si>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</si>
  <si>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</si>
  <si>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</si>
  <si>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</si>
  <si>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</si>
  <si>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</si>
  <si>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</si>
  <si>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</si>
  <si>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</si>
  <si>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</si>
  <si>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</si>
  <si>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</si>
  <si>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</si>
  <si>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</si>
  <si>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</si>
  <si>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</si>
  <si>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</si>
  <si>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</si>
  <si>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</si>
  <si>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</si>
  <si>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</si>
  <si>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</si>
  <si>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</si>
  <si>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</si>
  <si>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</si>
  <si>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</si>
  <si>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</si>
  <si>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</si>
  <si>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</si>
  <si>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</si>
  <si>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</si>
  <si>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</si>
  <si>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</si>
  <si>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</si>
  <si>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</si>
  <si>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</si>
  <si>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</si>
  <si>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</si>
  <si>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</si>
  <si>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</si>
  <si>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</si>
  <si>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</si>
  <si>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</si>
  <si>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</si>
  <si>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</si>
  <si>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</si>
  <si>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</si>
  <si>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</si>
  <si>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</si>
  <si>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</si>
  <si>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</si>
  <si>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</si>
  <si>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</si>
  <si>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</si>
  <si>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</si>
  <si>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</si>
  <si>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</si>
  <si>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</si>
  <si>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</si>
  <si>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</si>
  <si>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</si>
  <si>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</si>
  <si>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</si>
  <si>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</si>
  <si>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</si>
  <si>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</si>
  <si>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</si>
  <si>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</si>
  <si>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</si>
  <si>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</si>
  <si>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</si>
  <si>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</si>
  <si>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</si>
  <si>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</si>
  <si>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</si>
  <si>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</si>
  <si>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</si>
  <si>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</si>
  <si>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</si>
  <si>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</si>
  <si>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</si>
  <si>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</si>
  <si>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</si>
  <si>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</si>
  <si>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</si>
  <si>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</si>
  <si>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</si>
  <si>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</si>
  <si>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</si>
  <si>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</si>
  <si>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</si>
  <si>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</si>
  <si>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</si>
  <si>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</si>
  <si>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</si>
  <si>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</si>
  <si>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</si>
  <si>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</si>
  <si>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</si>
  <si>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</si>
  <si>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</si>
  <si>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</si>
  <si>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</si>
  <si>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</si>
  <si>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</si>
  <si>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</si>
  <si>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</si>
  <si>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</si>
  <si>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</si>
  <si>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</si>
  <si>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</si>
  <si>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</si>
  <si>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</si>
  <si>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</si>
  <si>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</si>
  <si>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</si>
  <si>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</si>
  <si>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</si>
  <si>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</si>
  <si>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</si>
  <si>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</si>
  <si>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</si>
  <si>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</si>
  <si>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</si>
  <si>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</si>
  <si>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</si>
  <si>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</si>
  <si>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</si>
  <si>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</si>
  <si>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</si>
  <si>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</si>
  <si>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</si>
  <si>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</si>
  <si>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</si>
  <si>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</si>
  <si>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</si>
  <si>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</si>
  <si>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</si>
  <si>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</si>
  <si>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</si>
  <si>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</si>
  <si>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</si>
  <si>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</si>
  <si>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</si>
  <si>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</si>
  <si>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</si>
  <si>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</si>
  <si>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</si>
  <si>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</si>
  <si>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</si>
  <si>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</si>
  <si>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</si>
  <si>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</si>
  <si>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</si>
  <si>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</si>
  <si>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</si>
  <si>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</si>
  <si>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</si>
  <si>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</si>
  <si>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</si>
  <si>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</si>
  <si>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</si>
  <si>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</si>
  <si>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</si>
  <si>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</si>
  <si>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</si>
  <si>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</si>
  <si>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</si>
  <si>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</si>
  <si>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</si>
  <si>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</si>
  <si>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</si>
  <si>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</si>
  <si>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</si>
  <si>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</si>
  <si>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</si>
  <si>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</si>
  <si>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</si>
  <si>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</si>
  <si>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</si>
  <si>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</si>
  <si>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</si>
  <si>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</si>
  <si>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</si>
  <si>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</si>
  <si>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</si>
  <si>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</si>
  <si>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</si>
  <si>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</si>
  <si>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</si>
  <si>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</si>
  <si>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</si>
  <si>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</si>
  <si>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</si>
  <si>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</si>
  <si>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</si>
  <si>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</si>
  <si>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</si>
  <si>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</si>
  <si>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</si>
  <si>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</si>
  <si>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</si>
  <si>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</si>
  <si>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</si>
  <si>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</si>
  <si>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</si>
  <si>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</si>
  <si>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</si>
  <si>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</si>
  <si>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</si>
  <si>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</si>
  <si>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</si>
  <si>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</si>
  <si>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</si>
  <si>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</si>
  <si>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</si>
  <si>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</si>
  <si>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</si>
  <si>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</si>
  <si>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</si>
  <si>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</si>
  <si>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</si>
  <si>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</si>
  <si>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</si>
  <si>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</si>
  <si>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</si>
  <si>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</si>
  <si>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</si>
  <si>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</si>
  <si>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</si>
  <si>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</si>
  <si>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</si>
  <si>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</si>
  <si>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</si>
  <si>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</si>
  <si>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</si>
  <si>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</si>
  <si>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</si>
  <si>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</si>
  <si>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</si>
  <si>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</si>
  <si>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</si>
  <si>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</si>
  <si>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</si>
  <si>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</si>
  <si>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</si>
  <si>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</si>
  <si>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</si>
  <si>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</si>
  <si>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</si>
  <si>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</si>
  <si>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</si>
  <si>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</si>
  <si>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</si>
  <si>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</si>
  <si>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</si>
  <si>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</si>
  <si>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</si>
  <si>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</si>
  <si>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</si>
  <si>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</si>
  <si>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</si>
  <si>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</si>
  <si>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</si>
  <si>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</si>
  <si>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</si>
  <si>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</si>
  <si>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</si>
  <si>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</si>
  <si>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</si>
  <si>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</si>
  <si>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</si>
  <si>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</si>
  <si>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</si>
  <si>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</si>
  <si>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</si>
  <si>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</si>
  <si>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</si>
  <si>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</si>
  <si>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</si>
  <si>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</si>
  <si>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</si>
  <si>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</si>
  <si>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</si>
  <si>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</si>
  <si>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</si>
  <si>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</si>
  <si>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</si>
  <si>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</si>
  <si>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</si>
  <si>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</si>
  <si>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</si>
  <si>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</si>
  <si>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</si>
  <si>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</si>
  <si>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</si>
  <si>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</si>
  <si>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</si>
  <si>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</si>
  <si>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</si>
  <si>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</si>
  <si>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</si>
  <si>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</si>
  <si>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</si>
  <si>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</si>
  <si>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</si>
  <si>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</si>
  <si>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</si>
  <si>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</si>
  <si>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</si>
  <si>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</si>
  <si>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</si>
  <si>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</si>
  <si>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</si>
  <si>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</si>
  <si>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</si>
  <si>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</si>
  <si>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</si>
  <si>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</si>
  <si>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</si>
  <si>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</si>
  <si>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</si>
  <si>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</si>
  <si>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</si>
  <si>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</si>
  <si>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</si>
  <si>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</si>
  <si>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</si>
  <si>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</si>
  <si>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</si>
  <si>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</si>
  <si>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</si>
  <si>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</si>
  <si>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</si>
  <si>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</si>
  <si>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</si>
  <si>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</si>
  <si>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</si>
  <si>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</si>
  <si>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</si>
  <si>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</si>
  <si>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</si>
  <si>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</si>
  <si>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</si>
  <si>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</si>
  <si>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</si>
  <si>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</si>
  <si>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</si>
  <si>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</si>
  <si>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</si>
  <si>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</si>
  <si>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</si>
  <si>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</si>
  <si>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</si>
  <si>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</si>
  <si>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</si>
  <si>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</si>
  <si>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</si>
  <si>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</si>
  <si>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</si>
  <si>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</si>
  <si>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</si>
  <si>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</si>
  <si>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</si>
  <si>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</si>
  <si>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</si>
  <si>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</si>
  <si>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</si>
  <si>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</si>
  <si>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</si>
  <si>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</si>
  <si>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</si>
  <si>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</si>
  <si>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</si>
  <si>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</si>
  <si>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</si>
  <si>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</si>
  <si>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</si>
  <si>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</si>
  <si>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</si>
  <si>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</si>
  <si>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</si>
  <si>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</si>
  <si>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</si>
  <si>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</si>
  <si>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</si>
  <si>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메인페이지</t>
  </si>
  <si>
    <t>제품소개</t>
  </si>
  <si>
    <t>2.3.1.2.3.1.1</t>
  </si>
  <si>
    <t>2.3.1.2.3.1.2</t>
  </si>
  <si>
    <t>2.3.1.2.3.1.3</t>
  </si>
  <si>
    <t>2.3.1.2.3.1.4</t>
  </si>
  <si>
    <t>2.3.1.2.3.1.5</t>
  </si>
  <si>
    <t>2.3.1.2.3.1.6</t>
  </si>
  <si>
    <t>2.3.1.2.3.1.7</t>
  </si>
  <si>
    <t>2.3.1.2.3.1.8</t>
  </si>
  <si>
    <t>2.3.1.2.3.1.9</t>
  </si>
  <si>
    <t>2.3.1.2.3.1.10</t>
  </si>
  <si>
    <t>2.3.1.2.3.1.11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</si>
</sst>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1">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0"/>
      <tableStyleElement type="headerRow" dxfId="9"/>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53" activePane="bottomLeft" state="frozen"/>
      <selection activeCell="D1" sqref="D1"/>
      <selection pane="bottomLeft" activeCell="D5" sqref="D5"/>
    </sheetView>
  </sheetViews>
  <sheetFormatPr defaultColWidth="8.86328125" defaultRowHeight="11.7"/>
  <cols>
    <col min="1" max="1" width="17.6796875" style="30" hidden="1" customWidth="1"/>
    <col min="2" max="2" width="7.453125" style="30" hidden="1" customWidth="1"/>
    <col min="3" max="3" width="8.31640625" style="30" hidden="1" customWidth="1"/>
    <col min="4" max="4" width="9" style="127" customWidth="1"/>
    <col min="5" max="7" width="2.453125" style="31" customWidth="1"/>
    <col min="8" max="8" width="4.2265625" style="31" customWidth="1"/>
    <col min="9" max="11" width="2.453125" style="31" customWidth="1"/>
    <col min="12" max="12" width="9.6328125" style="31" customWidth="1"/>
    <col min="13" max="13" width="8.453125" style="32" customWidth="1"/>
    <col min="14" max="14" width="8.31640625" style="32" customWidth="1"/>
    <col min="15" max="15" width="6.08984375" style="31" hidden="1" customWidth="1"/>
    <col min="16" max="16" width="8.76953125" style="33" customWidth="1"/>
    <col min="17" max="17" width="4.54296875" style="33" customWidth="1"/>
    <col min="18" max="18" width="5.54296875" style="34" hidden="1" customWidth="1"/>
    <col min="19" max="19" width="4.2265625" style="34" hidden="1" customWidth="1"/>
    <col min="20" max="20" width="11.6796875" style="32" hidden="1" customWidth="1"/>
    <col min="21" max="21" width="12.08984375" style="32" hidden="1" customWidth="1"/>
    <col min="22" max="22" width="7.453125" style="35" hidden="1" customWidth="1"/>
    <col min="23" max="23" width="5.86328125" style="36" hidden="1" customWidth="1"/>
    <col min="24" max="24" width="5.08984375" style="37" customWidth="1"/>
    <col min="25" max="25" width="27.08984375" style="31" customWidth="1"/>
    <col min="26" max="26" width="15.31640625" style="38" bestFit="1" customWidth="1"/>
    <col min="27" max="27" width="6.2265625" style="39" customWidth="1"/>
    <col min="28" max="28" width="6.31640625" style="128" customWidth="1"/>
    <col min="29" max="245" width="0.6796875" style="203" customWidth="1"/>
    <col min="246" max="16384" width="8.86328125" style="203"/>
  </cols>
  <sheetData>
    <row r="1" spans="1:246" s="204" customFormat="1" ht="20.05"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[계획:56.99% 실적:0.00%]</v>
      </c>
      <c r="AC1" s="232" t="s">
        <v>1158</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05"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5"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814</v>
      </c>
      <c r="Q21" s="149">
        <v>463</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0.56879606879606881</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651</v>
      </c>
      <c r="Q36" s="149">
        <v>317</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0.48694316436251922</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637</v>
      </c>
      <c r="Q37" s="149">
        <v>317</v>
      </c>
      <c r="R37" s="150">
        <f ca="1">IF(M37="","0",(N37-M37+1)-COUNTIFS(INDIRECT(getCalendarRange(O37)),"&gt;=" &amp; M37,INDIRECT(getCalendarRange(O37)),"&lt;=" &amp; N37))</f>
        <v>84</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0.4976452119309262</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635</v>
      </c>
      <c r="Q39" s="149">
        <v>315</v>
      </c>
      <c r="R39" s="150">
        <f ca="1">IF(M39="","0",(N39-M39+1)-COUNTIFS(INDIRECT(getCalendarRange(O39)),"&gt;=" &amp; M39,INDIRECT(getCalendarRange(O39)),"&lt;=" &amp; N39))</f>
        <v>84</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0.49606299212598426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f ca="1">IF(M41="","0",(N41-M41+1)-COUNTIFS(INDIRECT(getCalendarRange(O41)),"&gt;=" &amp; M41,INDIRECT(getCalendarRange(O41)),"&lt;=" &amp; N41))</f>
        <v>20</v>
      </c>
      <c r="S41" s="150">
        <f ca="1">IF(M41&gt;TODAY(),0,IF(N41&lt;TODAY(),R41,(TODAY()-M41+1)-COUNTIFS(INDIRECT(getCalendarRange(O41)),"&gt;=" &amp; M41,INDIRECT(getCalendarRange(O41)),"&lt;=" &amp; TODAY())))</f>
        <v>20</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f ca="1">IF(M42="","0",(N42-M42+1)-COUNTIFS(INDIRECT(getCalendarRange(O42)),"&gt;=" &amp; M42,INDIRECT(getCalendarRange(O42)),"&lt;=" &amp; N42))</f>
        <v>15</v>
      </c>
      <c r="S42" s="150">
        <f ca="1">IF(M42&gt;TODAY(),0,IF(N42&lt;TODAY(),R42,(TODAY()-M42+1)-COUNTIFS(INDIRECT(getCalendarRange(O42)),"&gt;=" &amp; M42,INDIRECT(getCalendarRange(O42)),"&lt;=" &amp; TODAY())))</f>
        <v>15</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f ca="1">IF(M43="","0",(N43-M43+1)-COUNTIFS(INDIRECT(getCalendarRange(O43)),"&gt;=" &amp; M43,INDIRECT(getCalendarRange(O43)),"&lt;=" &amp; N43))</f>
        <v>44</v>
      </c>
      <c r="S43" s="150">
        <f ca="1">IF(M43&gt;TODAY(),0,IF(N43&lt;TODAY(),R43,(TODAY()-M43+1)-COUNTIFS(INDIRECT(getCalendarRange(O43)),"&gt;=" &amp; M43,INDIRECT(getCalendarRange(O43)),"&lt;=" &amp; TODAY())))</f>
        <v>32</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f ca="1">IF(M44="","0",(N44-M44+1)-COUNTIFS(INDIRECT(getCalendarRange(O44)),"&gt;=" &amp; M44,INDIRECT(getCalendarRange(O44)),"&lt;=" &amp; N44))</f>
        <v>15</v>
      </c>
      <c r="S44" s="150">
        <f ca="1">IF(M44&gt;TODAY(),0,IF(N44&lt;TODAY(),R44,(TODAY()-M44+1)-COUNTIFS(INDIRECT(getCalendarRange(O44)),"&gt;=" &amp; M44,INDIRECT(getCalendarRange(O44)),"&lt;=" &amp; TODAY())))</f>
        <v>15</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f ca="1">IF(M45="","0",(N45-M45+1)-COUNTIFS(INDIRECT(getCalendarRange(O45)),"&gt;=" &amp; M45,INDIRECT(getCalendarRange(O45)),"&lt;=" &amp; N45))</f>
        <v>21</v>
      </c>
      <c r="S45" s="150">
        <f ca="1">IF(M45&gt;TODAY(),0,IF(N45&lt;TODAY(),R45,(TODAY()-M45+1)-COUNTIFS(INDIRECT(getCalendarRange(O45)),"&gt;=" &amp; M45,INDIRECT(getCalendarRange(O45)),"&lt;=" &amp; TODAY())))</f>
        <v>21</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f ca="1">IF(M46="","0",(N46-M46+1)-COUNTIFS(INDIRECT(getCalendarRange(O46)),"&gt;=" &amp; M46,INDIRECT(getCalendarRange(O46)),"&lt;=" &amp; N46))</f>
        <v>32</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f ca="1">IF(M47="","0",(N47-M47+1)-COUNTIFS(INDIRECT(getCalendarRange(O47)),"&gt;=" &amp; M47,INDIRECT(getCalendarRange(O47)),"&lt;=" &amp; N47))</f>
        <v>72</v>
      </c>
      <c r="S47" s="150">
        <f ca="1">IF(M47&gt;TODAY(),0,IF(N47&lt;TODAY(),R47,(TODAY()-M47+1)-COUNTIFS(INDIRECT(getCalendarRange(O47)),"&gt;=" &amp; M47,INDIRECT(getCalendarRange(O47)),"&lt;=" &amp; TODAY())))</f>
        <v>28</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f ca="1">IF(M48="","0",(N48-M48+1)-COUNTIFS(INDIRECT(getCalendarRange(O48)),"&gt;=" &amp; M48,INDIRECT(getCalendarRange(O48)),"&lt;=" &amp; N48))</f>
        <v>21</v>
      </c>
      <c r="S48" s="150">
        <f ca="1">IF(M48&gt;TODAY(),0,IF(N48&lt;TODAY(),R48,(TODAY()-M48+1)-COUNTIFS(INDIRECT(getCalendarRange(O48)),"&gt;=" &amp; M48,INDIRECT(getCalendarRange(O48)),"&lt;=" &amp; TODAY())))</f>
        <v>21</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f ca="1">IF(M49="","0",(N49-M49+1)-COUNTIFS(INDIRECT(getCalendarRange(O49)),"&gt;=" &amp; M49,INDIRECT(getCalendarRange(O49)),"&lt;=" &amp; N49))</f>
        <v>5</v>
      </c>
      <c r="S49" s="150">
        <f ca="1">IF(M49&gt;TODAY(),0,IF(N49&lt;TODAY(),R49,(TODAY()-M49+1)-COUNTIFS(INDIRECT(getCalendarRange(O49)),"&gt;=" &amp; M49,INDIRECT(getCalendarRange(O49)),"&lt;=" &amp; TODAY())))</f>
        <v>5</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f ca="1">IF(M50="","0",(N50-M50+1)-COUNTIFS(INDIRECT(getCalendarRange(O50)),"&gt;=" &amp; M50,INDIRECT(getCalendarRange(O50)),"&lt;=" &amp; N50))</f>
        <v>6</v>
      </c>
      <c r="S50" s="150">
        <f ca="1">IF(M50&gt;TODAY(),0,IF(N50&lt;TODAY(),R50,(TODAY()-M50+1)-COUNTIFS(INDIRECT(getCalendarRange(O50)),"&gt;=" &amp; M50,INDIRECT(getCalendarRange(O50)),"&lt;=" &amp; TODAY())))</f>
        <v>6</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f ca="1">IF(M51="","0",(N51-M51+1)-COUNTIFS(INDIRECT(getCalendarRange(O51)),"&gt;=" &amp; M51,INDIRECT(getCalendarRange(O51)),"&lt;=" &amp; N51))</f>
        <v>3</v>
      </c>
      <c r="S51" s="150">
        <f ca="1">IF(M51&gt;TODAY(),0,IF(N51&lt;TODAY(),R51,(TODAY()-M51+1)-COUNTIFS(INDIRECT(getCalendarRange(O51)),"&gt;=" &amp; M51,INDIRECT(getCalendarRange(O51)),"&lt;=" &amp; TODAY())))</f>
        <v>3</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f ca="1">IF(M52="","0",(N52-M52+1)-COUNTIFS(INDIRECT(getCalendarRange(O52)),"&gt;=" &amp; M52,INDIRECT(getCalendarRange(O52)),"&lt;=" &amp; N52))</f>
        <v>12</v>
      </c>
      <c r="S52" s="150">
        <f ca="1">IF(M52&gt;TODAY(),0,IF(N52&lt;TODAY(),R52,(TODAY()-M52+1)-COUNTIFS(INDIRECT(getCalendarRange(O52)),"&gt;=" &amp; M52,INDIRECT(getCalendarRange(O52)),"&lt;=" &amp; TODAY())))</f>
        <v>12</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f ca="1">IF(M53="","0",(N53-M53+1)-COUNTIFS(INDIRECT(getCalendarRange(O53)),"&gt;=" &amp; M53,INDIRECT(getCalendarRange(O53)),"&lt;=" &amp; N53))</f>
        <v>16</v>
      </c>
      <c r="S53" s="150">
        <f ca="1">IF(M53&gt;TODAY(),0,IF(N53&lt;TODAY(),R53,(TODAY()-M53+1)-COUNTIFS(INDIRECT(getCalendarRange(O53)),"&gt;=" &amp; M53,INDIRECT(getCalendarRange(O53)),"&lt;=" &amp; TODAY())))</f>
        <v>16</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f ca="1">IF(M54="","0",(N54-M54+1)-COUNTIFS(INDIRECT(getCalendarRange(O54)),"&gt;=" &amp; M54,INDIRECT(getCalendarRange(O54)),"&lt;=" &amp; N54))</f>
        <v>52</v>
      </c>
      <c r="S54" s="150">
        <f ca="1">IF(M54&gt;TODAY(),0,IF(N54&lt;TODAY(),R54,(TODAY()-M54+1)-COUNTIFS(INDIRECT(getCalendarRange(O54)),"&gt;=" &amp; M54,INDIRECT(getCalendarRange(O54)),"&lt;=" &amp; TODAY())))</f>
        <v>8</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43510</v>
      </c>
      <c r="N55" s="126">
        <v>43573</v>
      </c>
      <c r="O55" s="148"/>
      <c r="P55" s="149">
        <v>193</v>
      </c>
      <c r="Q55" s="149">
        <v>49</v>
      </c>
      <c r="R55" s="150">
        <f ca="1">IF(M55="","0",(N55-M55+1)-COUNTIFS(INDIRECT(getCalendarRange(O55)),"&gt;=" &amp; M55,INDIRECT(getCalendarRange(O55)),"&lt;=" &amp; N55))</f>
        <v>64</v>
      </c>
      <c r="S55" s="150">
        <f ca="1">IF(M55&gt;TODAY(),0,IF(N55&lt;TODAY(),R55,(TODAY()-M55+1)-COUNTIFS(INDIRECT(getCalendarRange(O55)),"&gt;=" &amp; M55,INDIRECT(getCalendarRange(O55)),"&lt;=" &amp; TODAY())))</f>
        <v>27</v>
      </c>
      <c r="T55" s="126"/>
      <c r="U55" s="126"/>
      <c r="V55" s="151">
        <v>0</v>
      </c>
      <c r="W55" s="152" t="str">
        <f ca="1">IF(U55="","0",IF(T55="","0",(U55-T55+1)-COUNTIFS(INDIRECT(getCalendarRange(O55)),"&gt;=" &amp; T55,INDIRECT(getCalendarRange(O55)),"&lt;=" &amp; U55)))</f>
        <v>0</v>
      </c>
      <c r="X55" s="153"/>
      <c r="Y55" s="183" t="s">
        <v>1112</v>
      </c>
      <c r="Z55" s="154"/>
      <c r="AA55" s="155">
        <v>0.25388601036269431</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7"/>
      <c r="DH55" s="208"/>
      <c r="DI55" s="208"/>
      <c r="DJ55" s="208"/>
      <c r="DK55" s="208"/>
      <c r="DL55" s="208"/>
      <c r="DM55" s="208"/>
      <c r="DN55" s="208"/>
      <c r="DO55" s="208"/>
      <c r="DP55" s="208"/>
      <c r="DQ55" s="208"/>
      <c r="DR55" s="208"/>
      <c r="DS55" s="208" t="str">
        <f>I55 &amp; " " &amp; IF(M55="","",TEXT(M55,"M/D-")) &amp; IF(N55="","",TEXT(N55,"M/D")) &amp; " "</f>
        <v xml:space="preserve">사이트 개발 2/14-4/18 </v>
      </c>
      <c r="DT55" s="207" t="str">
        <f>TEXT(AB55,"#0.00%") &amp; " "</f>
        <v xml:space="preserve">0.00% </v>
      </c>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43510</v>
      </c>
      <c r="N56" s="126">
        <v>43573</v>
      </c>
      <c r="O56" s="148"/>
      <c r="P56" s="149">
        <v>193</v>
      </c>
      <c r="Q56" s="149">
        <v>49</v>
      </c>
      <c r="R56" s="150">
        <f ca="1">IF(M56="","0",(N56-M56+1)-COUNTIFS(INDIRECT(getCalendarRange(O56)),"&gt;=" &amp; M56,INDIRECT(getCalendarRange(O56)),"&lt;=" &amp; N56))</f>
        <v>64</v>
      </c>
      <c r="S56" s="150">
        <f ca="1">IF(M56&gt;TODAY(),0,IF(N56&lt;TODAY(),R56,(TODAY()-M56+1)-COUNTIFS(INDIRECT(getCalendarRange(O56)),"&gt;=" &amp; M56,INDIRECT(getCalendarRange(O56)),"&lt;=" &amp; TODAY())))</f>
        <v>27</v>
      </c>
      <c r="T56" s="126"/>
      <c r="U56" s="126"/>
      <c r="V56" s="151">
        <v>0</v>
      </c>
      <c r="W56" s="152" t="str">
        <f ca="1">IF(U56="","0",IF(T56="","0",(U56-T56+1)-COUNTIFS(INDIRECT(getCalendarRange(O56)),"&gt;=" &amp; T56,INDIRECT(getCalendarRange(O56)),"&lt;=" &amp; U56)))</f>
        <v>0</v>
      </c>
      <c r="X56" s="153"/>
      <c r="Y56" s="183" t="s">
        <v>1112</v>
      </c>
      <c r="Z56" s="154"/>
      <c r="AA56" s="155">
        <v>0.25388601036269431</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7"/>
      <c r="DH56" s="208"/>
      <c r="DI56" s="208"/>
      <c r="DJ56" s="208"/>
      <c r="DK56" s="208"/>
      <c r="DL56" s="208"/>
      <c r="DM56" s="208"/>
      <c r="DN56" s="208"/>
      <c r="DO56" s="208"/>
      <c r="DP56" s="208"/>
      <c r="DQ56" s="208"/>
      <c r="DR56" s="208"/>
      <c r="DS56" s="208" t="str">
        <f>J56 &amp; " " &amp; IF(M56="","",TEXT(M56,"M/D-")) &amp; IF(N56="","",TEXT(N56,"M/D")) &amp; " "</f>
        <v xml:space="preserve">Vue.js 구현 2/14-4/18 </v>
      </c>
      <c r="DT56" s="207" t="str">
        <f>TEXT(AB56,"#0.00%") &amp; " "</f>
        <v xml:space="preserve">0.00% </v>
      </c>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1177</v>
      </c>
      <c r="E57" s="148"/>
      <c r="F57" s="148"/>
      <c r="G57" s="148"/>
      <c r="H57" s="148"/>
      <c r="I57" s="148"/>
      <c r="J57" s="183"/>
      <c r="K57" s="240" t="s">
        <v>1175</v>
      </c>
      <c r="L57" s="241"/>
      <c r="M57" s="126">
        <v>43522</v>
      </c>
      <c r="N57" s="126">
        <v>43567</v>
      </c>
      <c r="O57" s="148"/>
      <c r="P57" s="149">
        <v>46</v>
      </c>
      <c r="Q57" s="149">
        <v>15</v>
      </c>
      <c r="R57" s="150">
        <f ca="1">IF(M57="","0",(N57-M57+1)-COUNTIFS(INDIRECT(getCalendarRange(O57)),"&gt;=" &amp; M57,INDIRECT(getCalendarRange(O57)),"&lt;=" &amp; N57))</f>
        <v>46</v>
      </c>
      <c r="S57" s="150">
        <f ca="1">IF(M57&gt;TODAY(),0,IF(N57&lt;TODAY(),R57,(TODAY()-M57+1)-COUNTIFS(INDIRECT(getCalendarRange(O57)),"&gt;=" &amp; M57,INDIRECT(getCalendarRange(O57)),"&lt;=" &amp; TODAY())))</f>
        <v>15</v>
      </c>
      <c r="T57" s="126"/>
      <c r="U57" s="126"/>
      <c r="V57" s="151"/>
      <c r="W57" s="152" t="str">
        <f ca="1">IF(U57="","0",IF(T57="","0",(U57-T57+1)-COUNTIFS(INDIRECT(getCalendarRange(O57)),"&gt;=" &amp; T57,INDIRECT(getCalendarRange(O57)),"&lt;=" &amp; U57)))</f>
        <v>0</v>
      </c>
      <c r="X57" s="153">
        <v>1</v>
      </c>
      <c r="Y57" s="183" t="s">
        <v>1112</v>
      </c>
      <c r="Z57" s="154"/>
      <c r="AA57" s="155">
        <v>0.32608695652173914</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t="str">
        <f>K57 &amp; " " &amp; IF(M57="","",TEXT(M57,"M/D-")) &amp; IF(N57="","",TEXT(N57,"M/D")) &amp; " "</f>
        <v xml:space="preserve">메인페이지 2/26-4/12 </v>
      </c>
      <c r="EF57" s="207" t="str">
        <f>TEXT(AB57,"#0.00%") &amp; " "</f>
        <v xml:space="preserve">0.00% </v>
      </c>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1178</v>
      </c>
      <c r="E58" s="148"/>
      <c r="F58" s="148"/>
      <c r="G58" s="148"/>
      <c r="H58" s="148"/>
      <c r="I58" s="148"/>
      <c r="J58" s="183"/>
      <c r="K58" s="183" t="s">
        <v>1176</v>
      </c>
      <c r="L58" s="183"/>
      <c r="M58" s="126">
        <v>43523</v>
      </c>
      <c r="N58" s="126">
        <v>43544</v>
      </c>
      <c r="O58" s="148"/>
      <c r="P58" s="149">
        <v>22</v>
      </c>
      <c r="Q58" s="149">
        <v>14</v>
      </c>
      <c r="R58" s="150">
        <f ca="1">IF(M58="","0",(N58-M58+1)-COUNTIFS(INDIRECT(getCalendarRange(O58)),"&gt;=" &amp; M58,INDIRECT(getCalendarRange(O58)),"&lt;=" &amp; N58))</f>
        <v>22</v>
      </c>
      <c r="S58" s="150">
        <f ca="1">IF(M58&gt;TODAY(),0,IF(N58&lt;TODAY(),R58,(TODAY()-M58+1)-COUNTIFS(INDIRECT(getCalendarRange(O58)),"&gt;=" &amp; M58,INDIRECT(getCalendarRange(O58)),"&lt;=" &amp; TODAY())))</f>
        <v>14</v>
      </c>
      <c r="T58" s="126"/>
      <c r="U58" s="126"/>
      <c r="V58" s="151"/>
      <c r="W58" s="152" t="str">
        <f ca="1">IF(U58="","0",IF(T58="","0",(U58-T58+1)-COUNTIFS(INDIRECT(getCalendarRange(O58)),"&gt;=" &amp; T58,INDIRECT(getCalendarRange(O58)),"&lt;=" &amp; U58)))</f>
        <v>0</v>
      </c>
      <c r="X58" s="153">
        <v>1</v>
      </c>
      <c r="Y58" s="183" t="s">
        <v>1112</v>
      </c>
      <c r="Z58" s="154"/>
      <c r="AA58" s="155">
        <v>0.63636363636363635</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7"/>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t="str">
        <f>K58 &amp; " " &amp; IF(M58="","",TEXT(M58,"M/D-")) &amp; IF(N58="","",TEXT(N58,"M/D")) &amp; " "</f>
        <v xml:space="preserve">제품소개 2/27-3/20 </v>
      </c>
      <c r="EG58" s="207" t="str">
        <f>TEXT(AB58,"#0.00%") &amp; " "</f>
        <v xml:space="preserve">0.00% </v>
      </c>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1179</v>
      </c>
      <c r="E59" s="148"/>
      <c r="F59" s="148"/>
      <c r="G59" s="148"/>
      <c r="H59" s="148"/>
      <c r="I59" s="148"/>
      <c r="J59" s="183"/>
      <c r="K59" s="183" t="s">
        <v>1114</v>
      </c>
      <c r="L59" s="148"/>
      <c r="M59" s="126">
        <v>43544</v>
      </c>
      <c r="N59" s="126">
        <v>43565</v>
      </c>
      <c r="O59" s="148"/>
      <c r="P59" s="149">
        <v>22</v>
      </c>
      <c r="Q59" s="149">
        <v>0</v>
      </c>
      <c r="R59" s="150">
        <f ca="1">IF(M59="","0",(N59-M59+1)-COUNTIFS(INDIRECT(getCalendarRange(O59)),"&gt;=" &amp; M59,INDIRECT(getCalendarRange(O59)),"&lt;=" &amp; N59))</f>
        <v>22</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1112</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7"/>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t="str">
        <f>K59 &amp; " " &amp; IF(M59="","",TEXT(M59,"M/D-")) &amp; IF(N59="","",TEXT(N59,"M/D")) &amp; " "</f>
        <v xml:space="preserve">문의사항 3/20-4/10 </v>
      </c>
      <c r="FB59" s="207" t="str">
        <f>TEXT(AB59,"#0.00%") &amp; " "</f>
        <v xml:space="preserve">0.00% </v>
      </c>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1180</v>
      </c>
      <c r="E60" s="148"/>
      <c r="F60" s="148"/>
      <c r="G60" s="148"/>
      <c r="H60" s="148"/>
      <c r="I60" s="148"/>
      <c r="J60" s="183"/>
      <c r="K60" s="183" t="s">
        <v>1155</v>
      </c>
      <c r="L60" s="148"/>
      <c r="M60" s="126">
        <v>43548</v>
      </c>
      <c r="N60" s="126">
        <v>43555</v>
      </c>
      <c r="O60" s="148"/>
      <c r="P60" s="149">
        <v>8</v>
      </c>
      <c r="Q60" s="149">
        <v>0</v>
      </c>
      <c r="R60" s="150">
        <f ca="1">IF(M60="","0",(N60-M60+1)-COUNTIFS(INDIRECT(getCalendarRange(O60)),"&gt;=" &amp; M60,INDIRECT(getCalendarRange(O60)),"&lt;=" &amp; N60))</f>
        <v>8</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1181</v>
      </c>
      <c r="E61" s="148"/>
      <c r="F61" s="148"/>
      <c r="G61" s="148"/>
      <c r="H61" s="148"/>
      <c r="I61" s="148"/>
      <c r="J61" s="183"/>
      <c r="K61" s="183" t="s">
        <v>1115</v>
      </c>
      <c r="L61" s="148"/>
      <c r="M61" s="126">
        <v>43545</v>
      </c>
      <c r="N61" s="126">
        <v>43554</v>
      </c>
      <c r="O61" s="148"/>
      <c r="P61" s="149">
        <v>10</v>
      </c>
      <c r="Q61" s="149">
        <v>0</v>
      </c>
      <c r="R61" s="150">
        <f ca="1">IF(M61="","0",(N61-M61+1)-COUNTIFS(INDIRECT(getCalendarRange(O61)),"&gt;=" &amp; M61,INDIRECT(getCalendarRange(O61)),"&lt;=" &amp; N61))</f>
        <v>10</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7"/>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t="str">
        <f>K61 &amp; " " &amp; IF(M61="","",TEXT(M61,"M/D-")) &amp; IF(N61="","",TEXT(N61,"M/D")) &amp; " "</f>
        <v xml:space="preserve">디퓨저 판매 3/21-3/30 </v>
      </c>
      <c r="FC61" s="207" t="str">
        <f>TEXT(AB61,"#0.00%") &amp; " "</f>
        <v xml:space="preserve">0.00% </v>
      </c>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1182</v>
      </c>
      <c r="E62" s="148"/>
      <c r="F62" s="148"/>
      <c r="G62" s="148"/>
      <c r="H62" s="148"/>
      <c r="I62" s="148"/>
      <c r="J62" s="183"/>
      <c r="K62" s="184" t="s">
        <v>1159</v>
      </c>
      <c r="L62" s="148"/>
      <c r="M62" s="126">
        <v>43525</v>
      </c>
      <c r="N62" s="126">
        <v>43538</v>
      </c>
      <c r="O62" s="148"/>
      <c r="P62" s="149">
        <v>14</v>
      </c>
      <c r="Q62" s="149">
        <v>12</v>
      </c>
      <c r="R62" s="150">
        <f ca="1">IF(M62="","0",(N62-M62+1)-COUNTIFS(INDIRECT(getCalendarRange(O62)),"&gt;=" &amp; M62,INDIRECT(getCalendarRange(O62)),"&lt;=" &amp; N62))</f>
        <v>14</v>
      </c>
      <c r="S62" s="150">
        <f ca="1">IF(M62&gt;TODAY(),0,IF(N62&lt;TODAY(),R62,(TODAY()-M62+1)-COUNTIFS(INDIRECT(getCalendarRange(O62)),"&gt;=" &amp; M62,INDIRECT(getCalendarRange(O62)),"&lt;=" &amp; TODAY())))</f>
        <v>12</v>
      </c>
      <c r="T62" s="126"/>
      <c r="U62" s="126"/>
      <c r="V62" s="151"/>
      <c r="W62" s="152" t="str">
        <f ca="1">IF(U62="","0",IF(T62="","0",(U62-T62+1)-COUNTIFS(INDIRECT(getCalendarRange(O62)),"&gt;=" &amp; T62,INDIRECT(getCalendarRange(O62)),"&lt;=" &amp; U62)))</f>
        <v>0</v>
      </c>
      <c r="X62" s="153">
        <v>1</v>
      </c>
      <c r="Y62" s="183" t="s">
        <v>1112</v>
      </c>
      <c r="Z62" s="154"/>
      <c r="AA62" s="155">
        <v>0.8571428571428571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7"/>
      <c r="DN62" s="208"/>
      <c r="DO62" s="208"/>
      <c r="DP62" s="208"/>
      <c r="DQ62" s="208"/>
      <c r="DR62" s="208"/>
      <c r="DS62" s="208"/>
      <c r="DT62" s="208"/>
      <c r="DU62" s="208"/>
      <c r="DV62" s="208"/>
      <c r="DW62" s="208"/>
      <c r="DX62" s="208"/>
      <c r="DY62" s="208"/>
      <c r="DZ62" s="208"/>
      <c r="EA62" s="208"/>
      <c r="EB62" s="208"/>
      <c r="EC62" s="208"/>
      <c r="ED62" s="208"/>
      <c r="EE62" s="208"/>
      <c r="EF62" s="208"/>
      <c r="EG62" s="208"/>
      <c r="EH62" s="208" t="str">
        <f>K62 &amp; " " &amp; IF(M62="","",TEXT(M62,"M/D-")) &amp; IF(N62="","",TEXT(N62,"M/D")) &amp; " "</f>
        <v xml:space="preserve">제품,리필용액 판매 3/1-3/14 </v>
      </c>
      <c r="EI62" s="207" t="str">
        <f>TEXT(AB62,"#0.00%") &amp; " "</f>
        <v xml:space="preserve">0.00% </v>
      </c>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1183</v>
      </c>
      <c r="E63" s="148"/>
      <c r="F63" s="148"/>
      <c r="G63" s="148"/>
      <c r="H63" s="148"/>
      <c r="I63" s="148"/>
      <c r="J63" s="183"/>
      <c r="K63" s="183" t="s">
        <v>1116</v>
      </c>
      <c r="L63" s="148"/>
      <c r="M63" s="126">
        <v>43510</v>
      </c>
      <c r="N63" s="126">
        <v>43517</v>
      </c>
      <c r="O63" s="148"/>
      <c r="P63" s="149">
        <v>8</v>
      </c>
      <c r="Q63" s="149">
        <v>8</v>
      </c>
      <c r="R63" s="150">
        <f ca="1">IF(M63="","0",(N63-M63+1)-COUNTIFS(INDIRECT(getCalendarRange(O63)),"&gt;=" &amp; M63,INDIRECT(getCalendarRange(O63)),"&lt;=" &amp; N63))</f>
        <v>8</v>
      </c>
      <c r="S63" s="150">
        <f ca="1">IF(M63&gt;TODAY(),0,IF(N63&lt;TODAY(),R63,(TODAY()-M63+1)-COUNTIFS(INDIRECT(getCalendarRange(O63)),"&gt;=" &amp; M63,INDIRECT(getCalendarRange(O63)),"&lt;=" &amp; TODAY())))</f>
        <v>8</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2/14-2/21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1184</v>
      </c>
      <c r="E64" s="148"/>
      <c r="F64" s="148"/>
      <c r="G64" s="148"/>
      <c r="H64" s="148"/>
      <c r="I64" s="148"/>
      <c r="J64" s="183"/>
      <c r="K64" s="183" t="s">
        <v>1110</v>
      </c>
      <c r="L64" s="148"/>
      <c r="M64" s="126">
        <v>43539</v>
      </c>
      <c r="N64" s="126">
        <v>43553</v>
      </c>
      <c r="O64" s="148"/>
      <c r="P64" s="149">
        <v>15</v>
      </c>
      <c r="Q64" s="149">
        <v>0</v>
      </c>
      <c r="R64" s="150">
        <f ca="1">IF(M64="","0",(N64-M64+1)-COUNTIFS(INDIRECT(getCalendarRange(O64)),"&gt;=" &amp; M64,INDIRECT(getCalendarRange(O64)),"&lt;=" &amp; N64))</f>
        <v>15</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0</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7"/>
      <c r="EB64" s="208"/>
      <c r="EC64" s="208"/>
      <c r="ED64" s="208"/>
      <c r="EE64" s="208"/>
      <c r="EF64" s="208"/>
      <c r="EG64" s="208"/>
      <c r="EH64" s="208"/>
      <c r="EI64" s="208"/>
      <c r="EJ64" s="208"/>
      <c r="EK64" s="208"/>
      <c r="EL64" s="208"/>
      <c r="EM64" s="208"/>
      <c r="EN64" s="208"/>
      <c r="EO64" s="208"/>
      <c r="EP64" s="208"/>
      <c r="EQ64" s="208"/>
      <c r="ER64" s="208"/>
      <c r="ES64" s="208"/>
      <c r="ET64" s="208"/>
      <c r="EU64" s="208"/>
      <c r="EV64" s="208" t="str">
        <f>K64 &amp; " " &amp; IF(M64="","",TEXT(M64,"M/D-")) &amp; IF(N64="","",TEXT(N64,"M/D")) &amp; " "</f>
        <v xml:space="preserve">커뮤니티 3/15-3/29 </v>
      </c>
      <c r="EW64" s="207" t="str">
        <f>TEXT(AB64,"#0.00%") &amp; " "</f>
        <v xml:space="preserve">0.00% </v>
      </c>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1185</v>
      </c>
      <c r="E65" s="148"/>
      <c r="F65" s="148"/>
      <c r="G65" s="148"/>
      <c r="H65" s="148"/>
      <c r="I65" s="148"/>
      <c r="J65" s="183"/>
      <c r="K65" s="183" t="s">
        <v>1117</v>
      </c>
      <c r="L65" s="148"/>
      <c r="M65" s="126">
        <v>43555</v>
      </c>
      <c r="N65" s="126">
        <v>43565</v>
      </c>
      <c r="O65" s="148"/>
      <c r="P65" s="149">
        <v>11</v>
      </c>
      <c r="Q65" s="149">
        <v>0</v>
      </c>
      <c r="R65" s="150">
        <f ca="1">IF(M65="","0",(N65-M65+1)-COUNTIFS(INDIRECT(getCalendarRange(O65)),"&gt;=" &amp; M65,INDIRECT(getCalendarRange(O65)),"&lt;=" &amp; N65))</f>
        <v>11</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7"/>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t="str">
        <f>K65 &amp; " " &amp; IF(M65="","",TEXT(M65,"M/D-")) &amp; IF(N65="","",TEXT(N65,"M/D")) &amp; " "</f>
        <v xml:space="preserve">검색 3/31-4/10 </v>
      </c>
      <c r="FM65" s="207" t="str">
        <f>TEXT(AB65,"#0.00%") &amp; " "</f>
        <v xml:space="preserve">0.00% </v>
      </c>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1186</v>
      </c>
      <c r="E66" s="148"/>
      <c r="F66" s="148"/>
      <c r="G66" s="148"/>
      <c r="H66" s="148"/>
      <c r="I66" s="148"/>
      <c r="J66" s="184"/>
      <c r="K66" s="183" t="s">
        <v>1111</v>
      </c>
      <c r="L66" s="148"/>
      <c r="M66" s="126">
        <v>43538</v>
      </c>
      <c r="N66" s="126">
        <v>43554</v>
      </c>
      <c r="O66" s="148"/>
      <c r="P66" s="149">
        <v>17</v>
      </c>
      <c r="Q66" s="149">
        <v>0</v>
      </c>
      <c r="R66" s="150">
        <f ca="1">IF(M66="","0",(N66-M66+1)-COUNTIFS(INDIRECT(getCalendarRange(O66)),"&gt;=" &amp; M66,INDIRECT(getCalendarRange(O66)),"&lt;=" &amp; N66))</f>
        <v>17</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3/14-3/30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1187</v>
      </c>
      <c r="E67" s="148"/>
      <c r="F67" s="148"/>
      <c r="G67" s="148"/>
      <c r="H67" s="148"/>
      <c r="I67" s="148"/>
      <c r="J67" s="183"/>
      <c r="K67" s="183" t="s">
        <v>1138</v>
      </c>
      <c r="L67" s="184"/>
      <c r="M67" s="126">
        <v>43554</v>
      </c>
      <c r="N67" s="126">
        <v>43573</v>
      </c>
      <c r="O67" s="148"/>
      <c r="P67" s="149">
        <v>20</v>
      </c>
      <c r="Q67" s="149">
        <v>0</v>
      </c>
      <c r="R67" s="150">
        <f ca="1">IF(M67="","0",(N67-M67+1)-COUNTIFS(INDIRECT(getCalendarRange(O67)),"&gt;=" &amp; M67,INDIRECT(getCalendarRange(O67)),"&lt;=" &amp; N67))</f>
        <v>20</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f ca="1">IF(M68="","0",(N68-M68+1)-COUNTIFS(INDIRECT(getCalendarRange(O68)),"&gt;=" &amp; M68,INDIRECT(getCalendarRange(O68)),"&lt;=" &amp; N68))</f>
        <v>83</v>
      </c>
      <c r="S68" s="150">
        <f ca="1">IF(M68&gt;TODAY(),0,IF(N68&lt;TODAY(),R68,(TODAY()-M68+1)-COUNTIFS(INDIRECT(getCalendarRange(O68)),"&gt;=" &amp; M68,INDIRECT(getCalendarRange(O68)),"&lt;=" &amp; TODAY())))</f>
        <v>40</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f ca="1">IF(M69="","0",(N69-M69+1)-COUNTIFS(INDIRECT(getCalendarRange(O69)),"&gt;=" &amp; M69,INDIRECT(getCalendarRange(O69)),"&lt;=" &amp; N69))</f>
        <v>11</v>
      </c>
      <c r="S69" s="150">
        <f ca="1">IF(M69&gt;TODAY(),0,IF(N69&lt;TODAY(),R69,(TODAY()-M69+1)-COUNTIFS(INDIRECT(getCalendarRange(O69)),"&gt;=" &amp; M69,INDIRECT(getCalendarRange(O69)),"&lt;=" &amp; TODAY())))</f>
        <v>8</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f ca="1">IF(M70="","0",(N70-M70+1)-COUNTIFS(INDIRECT(getCalendarRange(O70)),"&gt;=" &amp; M70,INDIRECT(getCalendarRange(O70)),"&lt;=" &amp; N70))</f>
        <v>16</v>
      </c>
      <c r="S70" s="150">
        <f ca="1">IF(M70&gt;TODAY(),0,IF(N70&lt;TODAY(),R70,(TODAY()-M70+1)-COUNTIFS(INDIRECT(getCalendarRange(O70)),"&gt;=" &amp; M70,INDIRECT(getCalendarRange(O70)),"&lt;=" &amp; TODAY())))</f>
        <v>8</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f ca="1">IF(M71="","0",(N71-M71+1)-COUNTIFS(INDIRECT(getCalendarRange(O71)),"&gt;=" &amp; M71,INDIRECT(getCalendarRange(O71)),"&lt;=" &amp; N71))</f>
        <v>10</v>
      </c>
      <c r="S71" s="150">
        <f ca="1">IF(M71&gt;TODAY(),0,IF(N71&lt;TODAY(),R71,(TODAY()-M71+1)-COUNTIFS(INDIRECT(getCalendarRange(O71)),"&gt;=" &amp; M71,INDIRECT(getCalendarRange(O71)),"&lt;=" &amp; TODAY())))</f>
        <v>10</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f ca="1">IF(M72="","0",(N72-M72+1)-COUNTIFS(INDIRECT(getCalendarRange(O72)),"&gt;=" &amp; M72,INDIRECT(getCalendarRange(O72)),"&lt;=" &amp; N72))</f>
        <v>11</v>
      </c>
      <c r="S72" s="150">
        <f ca="1">IF(M72&gt;TODAY(),0,IF(N72&lt;TODAY(),R72,(TODAY()-M72+1)-COUNTIFS(INDIRECT(getCalendarRange(O72)),"&gt;=" &amp; M72,INDIRECT(getCalendarRange(O72)),"&lt;=" &amp; TODAY())))</f>
        <v>11</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f ca="1">IF(M73="","0",(N73-M73+1)-COUNTIFS(INDIRECT(getCalendarRange(O73)),"&gt;=" &amp; M73,INDIRECT(getCalendarRange(O73)),"&lt;=" &amp; N73))</f>
        <v>9</v>
      </c>
      <c r="S73" s="150">
        <f ca="1">IF(M73&gt;TODAY(),0,IF(N73&lt;TODAY(),R73,(TODAY()-M73+1)-COUNTIFS(INDIRECT(getCalendarRange(O73)),"&gt;=" &amp; M73,INDIRECT(getCalendarRange(O73)),"&lt;=" &amp; TODAY())))</f>
        <v>9</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f ca="1">IF(M74="","0",(N74-M74+1)-COUNTIFS(INDIRECT(getCalendarRange(O74)),"&gt;=" &amp; M74,INDIRECT(getCalendarRange(O74)),"&lt;=" &amp; N74))</f>
        <v>12</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f ca="1">IF(M75="","0",(N75-M75+1)-COUNTIFS(INDIRECT(getCalendarRange(O75)),"&gt;=" &amp; M75,INDIRECT(getCalendarRange(O75)),"&lt;=" &amp; N75))</f>
        <v>21</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f ca="1">IF(M76="","0",(N76-M76+1)-COUNTIFS(INDIRECT(getCalendarRange(O76)),"&gt;=" &amp; M76,INDIRECT(getCalendarRange(O76)),"&lt;=" &amp; N76))</f>
        <v>83</v>
      </c>
      <c r="S76" s="150">
        <f ca="1">IF(M76&gt;TODAY(),0,IF(N76&lt;TODAY(),R76,(TODAY()-M76+1)-COUNTIFS(INDIRECT(getCalendarRange(O76)),"&gt;=" &amp; M76,INDIRECT(getCalendarRange(O76)),"&lt;=" &amp; TODAY())))</f>
        <v>40</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v>1</v>
      </c>
      <c r="K77" s="148"/>
      <c r="L77" s="148"/>
      <c r="M77" s="126">
        <v>43529</v>
      </c>
      <c r="N77" s="126">
        <v>43539</v>
      </c>
      <c r="O77" s="148"/>
      <c r="P77" s="149">
        <v>11</v>
      </c>
      <c r="Q77" s="149">
        <v>8</v>
      </c>
      <c r="R77" s="150">
        <f ca="1">IF(M77="","0",(N77-M77+1)-COUNTIFS(INDIRECT(getCalendarRange(O77)),"&gt;=" &amp; M77,INDIRECT(getCalendarRange(O77)),"&lt;=" &amp; N77))</f>
        <v>11</v>
      </c>
      <c r="S77" s="150">
        <f ca="1">IF(M77&gt;TODAY(),0,IF(N77&lt;TODAY(),R77,(TODAY()-M77+1)-COUNTIFS(INDIRECT(getCalendarRange(O77)),"&gt;=" &amp; M77,INDIRECT(getCalendarRange(O77)),"&lt;=" &amp; TODAY())))</f>
        <v>8</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f ca="1">IF(M78="","0",(N78-M78+1)-COUNTIFS(INDIRECT(getCalendarRange(O78)),"&gt;=" &amp; M78,INDIRECT(getCalendarRange(O78)),"&lt;=" &amp; N78))</f>
        <v>16</v>
      </c>
      <c r="S78" s="150">
        <f ca="1">IF(M78&gt;TODAY(),0,IF(N78&lt;TODAY(),R78,(TODAY()-M78+1)-COUNTIFS(INDIRECT(getCalendarRange(O78)),"&gt;=" &amp; M78,INDIRECT(getCalendarRange(O78)),"&lt;=" &amp; TODAY())))</f>
        <v>8</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f ca="1">IF(M79="","0",(N79-M79+1)-COUNTIFS(INDIRECT(getCalendarRange(O79)),"&gt;=" &amp; M79,INDIRECT(getCalendarRange(O79)),"&lt;=" &amp; N79))</f>
        <v>10</v>
      </c>
      <c r="S79" s="150">
        <f ca="1">IF(M79&gt;TODAY(),0,IF(N79&lt;TODAY(),R79,(TODAY()-M79+1)-COUNTIFS(INDIRECT(getCalendarRange(O79)),"&gt;=" &amp; M79,INDIRECT(getCalendarRange(O79)),"&lt;=" &amp; TODAY())))</f>
        <v>10</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f ca="1">IF(M80="","0",(N80-M80+1)-COUNTIFS(INDIRECT(getCalendarRange(O80)),"&gt;=" &amp; M80,INDIRECT(getCalendarRange(O80)),"&lt;=" &amp; N80))</f>
        <v>11</v>
      </c>
      <c r="S80" s="150">
        <f ca="1">IF(M80&gt;TODAY(),0,IF(N80&lt;TODAY(),R80,(TODAY()-M80+1)-COUNTIFS(INDIRECT(getCalendarRange(O80)),"&gt;=" &amp; M80,INDIRECT(getCalendarRange(O80)),"&lt;=" &amp; TODAY())))</f>
        <v>11</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f ca="1">IF(M81="","0",(N81-M81+1)-COUNTIFS(INDIRECT(getCalendarRange(O81)),"&gt;=" &amp; M81,INDIRECT(getCalendarRange(O81)),"&lt;=" &amp; N81))</f>
        <v>9</v>
      </c>
      <c r="S81" s="150">
        <f ca="1">IF(M81&gt;TODAY(),0,IF(N81&lt;TODAY(),R81,(TODAY()-M81+1)-COUNTIFS(INDIRECT(getCalendarRange(O81)),"&gt;=" &amp; M81,INDIRECT(getCalendarRange(O81)),"&lt;=" &amp; TODAY())))</f>
        <v>9</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f ca="1">IF(M82="","0",(N82-M82+1)-COUNTIFS(INDIRECT(getCalendarRange(O82)),"&gt;=" &amp; M82,INDIRECT(getCalendarRange(O82)),"&lt;=" &amp; N82))</f>
        <v>12</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f ca="1">IF(M83="","0",(N83-M83+1)-COUNTIFS(INDIRECT(getCalendarRange(O83)),"&gt;=" &amp; M83,INDIRECT(getCalendarRange(O83)),"&lt;=" &amp; N83))</f>
        <v>21</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f ca="1">IF(M86="","0",(N86-M86+1)-COUNTIFS(INDIRECT(getCalendarRange(O86)),"&gt;=" &amp; M86,INDIRECT(getCalendarRange(O86)),"&lt;=" &amp; N86))</f>
        <v>7</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f ca="1">IF(M87="","0",(N87-M87+1)-COUNTIFS(INDIRECT(getCalendarRange(O87)),"&gt;=" &amp; M87,INDIRECT(getCalendarRange(O87)),"&lt;=" &amp; N87))</f>
        <v>8</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f ca="1">IF(M89="","0",(N89-M89+1)-COUNTIFS(INDIRECT(getCalendarRange(O89)),"&gt;=" &amp; M89,INDIRECT(getCalendarRange(O89)),"&lt;=" &amp; N89))</f>
        <v>3</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f ca="1">IF(M90="","0",(N90-M90+1)-COUNTIFS(INDIRECT(getCalendarRange(O90)),"&gt;=" &amp; M90,INDIRECT(getCalendarRange(O90)),"&lt;=" &amp; N90))</f>
        <v>7</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f ca="1">IF(M92="","0",(N92-M92+1)-COUNTIFS(INDIRECT(getCalendarRange(O92)),"&gt;=" &amp; M92,INDIRECT(getCalendarRange(O92)),"&lt;=" &amp; N92))</f>
        <v>6</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f ca="1">IF(M93="","0",(N93-M93+1)-COUNTIFS(INDIRECT(getCalendarRange(O93)),"&gt;=" &amp; M93,INDIRECT(getCalendarRange(O93)),"&lt;=" &amp; N93))</f>
        <v>2</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7:L57"/>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3">
    <cfRule type="expression" dxfId="8" priority="6">
      <formula>AC$4=TODAY()</formula>
    </cfRule>
    <cfRule type="expression" dxfId="7" priority="7">
      <formula>AND(AC$4&gt;= $M5,AC$4&lt;=$N5, $B5="G")</formula>
    </cfRule>
    <cfRule type="expression" dxfId="6" priority="8" stopIfTrue="1">
      <formula>AND(AC$4&gt;= $M5,AC$4&lt;=$N5)</formula>
    </cfRule>
    <cfRule type="expression" dxfId="5" priority="9" stopIfTrue="1">
      <formula>COUNTIF(STD_CAL,AC$4)&gt;0</formula>
    </cfRule>
  </conditionalFormatting>
  <conditionalFormatting sqref="D5:AB93">
    <cfRule type="expression" dxfId="0"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6328125" defaultRowHeight="14.4"/>
  <cols>
    <col min="1" max="1" width="31.453125" style="84" customWidth="1"/>
    <col min="2" max="2" width="10.453125" style="82" bestFit="1" customWidth="1"/>
    <col min="3" max="3" width="8.76953125" style="85" customWidth="1"/>
    <col min="4" max="4" width="27.86328125" style="85" customWidth="1"/>
    <col min="5" max="6" width="12.54296875" style="85" customWidth="1"/>
    <col min="7" max="7" width="25.2265625" style="85" customWidth="1"/>
    <col min="8" max="9" width="8.86328125" style="85"/>
    <col min="10" max="10" width="7.86328125" style="85" bestFit="1" customWidth="1"/>
    <col min="11" max="19" width="8.86328125" style="85"/>
    <col min="20" max="22" width="8.86328125" style="85" customWidth="1"/>
    <col min="23" max="23" width="8.86328125" style="85" hidden="1" customWidth="1"/>
    <col min="24" max="16384" width="8.86328125" style="85"/>
  </cols>
  <sheetData>
    <row r="1" spans="1:17" s="88" customFormat="1" ht="37" customHeight="1">
      <c r="A1" s="115" t="s">
        <v>1069</v>
      </c>
      <c r="B1" s="116"/>
      <c r="C1" s="116"/>
      <c r="D1" s="116"/>
      <c r="E1" s="116"/>
      <c r="F1" s="116"/>
      <c r="G1" s="116"/>
      <c r="H1" s="116"/>
      <c r="I1" s="116"/>
      <c r="J1" s="116"/>
      <c r="K1" s="116"/>
      <c r="L1" s="235"/>
      <c r="M1" s="236"/>
      <c r="N1" s="236"/>
      <c r="O1" s="87"/>
      <c r="P1" s="87"/>
      <c r="Q1" s="87"/>
    </row>
    <row r="2" spans="1:17" s="41" customFormat="1" ht="12.9">
      <c r="A2" s="124" t="s">
        <v>1017</v>
      </c>
      <c r="B2" s="40"/>
    </row>
    <row r="3" spans="1:17" s="41" customFormat="1" ht="12.9">
      <c r="A3" s="124" t="s">
        <v>1018</v>
      </c>
      <c r="B3" s="40"/>
    </row>
    <row r="4" spans="1:17" s="41" customFormat="1" ht="12.9">
      <c r="A4" s="237"/>
      <c r="B4" s="237"/>
      <c r="C4" s="42"/>
      <c r="D4" s="43"/>
      <c r="E4" s="43"/>
      <c r="F4" s="43"/>
    </row>
    <row r="5" spans="1:17" s="47" customFormat="1" ht="12.9">
      <c r="A5" s="44"/>
      <c r="B5" s="45"/>
      <c r="C5" s="46"/>
      <c r="D5" s="93"/>
      <c r="E5" s="94"/>
      <c r="F5" s="94"/>
      <c r="G5" s="94"/>
    </row>
    <row r="6" spans="1:17" s="47" customFormat="1" ht="12.9">
      <c r="A6" s="48" t="s">
        <v>1019</v>
      </c>
      <c r="B6" s="49">
        <v>858</v>
      </c>
      <c r="C6" s="47" t="s">
        <v>187</v>
      </c>
      <c r="D6" s="234" t="s">
        <v>1020</v>
      </c>
      <c r="E6" s="234"/>
      <c r="F6" s="234"/>
      <c r="G6" s="234"/>
    </row>
    <row r="7" spans="1:17" s="47" customFormat="1" ht="12.9">
      <c r="A7" s="50"/>
      <c r="B7" s="51"/>
      <c r="C7" s="52"/>
      <c r="D7" s="95"/>
      <c r="E7" s="95"/>
      <c r="F7" s="95"/>
      <c r="G7" s="95"/>
    </row>
    <row r="8" spans="1:17" s="47" customFormat="1" ht="12.75" customHeight="1">
      <c r="A8" s="53"/>
      <c r="B8" s="54"/>
      <c r="D8" s="96"/>
      <c r="E8" s="96"/>
      <c r="F8" s="96"/>
      <c r="G8" s="96"/>
      <c r="J8" s="55"/>
    </row>
    <row r="9" spans="1:17" s="47" customFormat="1" ht="12.9">
      <c r="A9" s="48" t="s">
        <v>1021</v>
      </c>
      <c r="B9" s="49">
        <v>489</v>
      </c>
      <c r="C9" s="47" t="s">
        <v>187</v>
      </c>
      <c r="D9" s="233" t="s">
        <v>1022</v>
      </c>
      <c r="E9" s="233"/>
      <c r="F9" s="233"/>
      <c r="G9" s="233"/>
    </row>
    <row r="10" spans="1:17" s="47" customFormat="1" ht="12.9">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1081</v>
      </c>
      <c r="E12" s="233"/>
      <c r="F12" s="233"/>
      <c r="G12" s="233"/>
    </row>
    <row r="13" spans="1:17" s="61" customFormat="1" ht="12.9">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9">
      <c r="A16" s="59"/>
      <c r="B16" s="65"/>
      <c r="C16" s="66"/>
      <c r="D16" s="97"/>
      <c r="E16" s="97"/>
      <c r="F16" s="97"/>
      <c r="G16" s="97"/>
    </row>
    <row r="17" spans="1:7" s="61" customFormat="1" ht="12.75" customHeight="1">
      <c r="A17" s="67"/>
      <c r="B17" s="63"/>
      <c r="C17" s="64"/>
      <c r="D17" s="96"/>
      <c r="E17" s="96"/>
      <c r="F17" s="96"/>
      <c r="G17" s="96"/>
    </row>
    <row r="18" spans="1:7" s="47" customFormat="1" ht="12.9">
      <c r="A18" s="48" t="s">
        <v>1025</v>
      </c>
      <c r="B18" s="68">
        <v>0.56993006993006989</v>
      </c>
      <c r="D18" s="233" t="s">
        <v>1026</v>
      </c>
      <c r="E18" s="233"/>
      <c r="F18" s="233"/>
      <c r="G18" s="233"/>
    </row>
    <row r="19" spans="1:7" s="47" customFormat="1" ht="12.9">
      <c r="A19" s="69"/>
      <c r="B19" s="65"/>
      <c r="C19" s="66"/>
      <c r="D19" s="97"/>
      <c r="E19" s="97"/>
      <c r="F19" s="97"/>
      <c r="G19" s="97"/>
    </row>
    <row r="20" spans="1:7" s="47" customFormat="1" ht="12.75" customHeight="1">
      <c r="A20" s="70"/>
      <c r="B20" s="45"/>
      <c r="C20" s="46"/>
      <c r="D20" s="96"/>
      <c r="E20" s="96"/>
      <c r="F20" s="96"/>
      <c r="G20" s="96"/>
    </row>
    <row r="21" spans="1:7" s="47" customFormat="1" ht="12.9">
      <c r="A21" s="48" t="s">
        <v>1027</v>
      </c>
      <c r="B21" s="68">
        <v>0</v>
      </c>
      <c r="D21" s="233" t="s">
        <v>1028</v>
      </c>
      <c r="E21" s="233"/>
      <c r="F21" s="233"/>
      <c r="G21" s="233"/>
    </row>
    <row r="22" spans="1:7" s="47" customFormat="1" ht="12.9">
      <c r="A22" s="71"/>
      <c r="B22" s="72"/>
      <c r="C22" s="73"/>
      <c r="D22" s="97"/>
      <c r="E22" s="97"/>
      <c r="F22" s="97"/>
      <c r="G22" s="97"/>
    </row>
    <row r="23" spans="1:7" s="47" customFormat="1" ht="13.5" customHeight="1">
      <c r="A23" s="74"/>
      <c r="B23" s="75"/>
      <c r="C23" s="76"/>
      <c r="D23" s="98"/>
      <c r="E23" s="98"/>
      <c r="F23" s="98"/>
      <c r="G23" s="98"/>
    </row>
    <row r="24" spans="1:7" s="47" customFormat="1" ht="12.9">
      <c r="A24" s="48" t="s">
        <v>1029</v>
      </c>
      <c r="B24" s="77">
        <f>ACTUAL_RATE-PLANNED_RATE</f>
        <v>-0.56993006993006989</v>
      </c>
      <c r="D24" s="234" t="s">
        <v>1030</v>
      </c>
      <c r="E24" s="234"/>
      <c r="F24" s="234"/>
      <c r="G24" s="234"/>
    </row>
    <row r="25" spans="1:7" s="47" customFormat="1" ht="12.9">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3"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6328125" defaultRowHeight="14.4"/>
  <cols>
    <col min="1" max="1" width="1.76953125" style="181" customWidth="1"/>
    <col min="2" max="4" width="8.86328125" style="181"/>
    <col min="5" max="5" width="10.76953125" style="181" customWidth="1"/>
    <col min="6" max="16384" width="8.86328125" style="181"/>
  </cols>
  <sheetData>
    <row r="1" spans="2:6" ht="37" customHeight="1">
      <c r="B1" s="114" t="s">
        <v>1121</v>
      </c>
    </row>
    <row r="2" spans="2:6">
      <c r="B2" s="181" t="s">
        <v>1122</v>
      </c>
    </row>
    <row r="3" spans="2:6">
      <c r="B3" s="181" t="s">
        <v>1123</v>
      </c>
    </row>
    <row r="6" spans="2:6" ht="28.8">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6328125" defaultRowHeight="14.4"/>
  <cols>
    <col min="1" max="1" width="28.08984375" style="117" customWidth="1"/>
    <col min="2" max="2" width="12.86328125" style="117" customWidth="1"/>
    <col min="3" max="3" width="6.76953125" style="117" customWidth="1"/>
    <col min="4" max="4" width="19.08984375" style="117" customWidth="1"/>
    <col min="5" max="5" width="12.54296875" style="117" customWidth="1"/>
    <col min="6" max="6" width="8.86328125" style="117"/>
    <col min="7" max="7" width="21.54296875" style="117" customWidth="1"/>
    <col min="8" max="8" width="16.31640625" style="117" bestFit="1" customWidth="1"/>
    <col min="9" max="9" width="9.86328125" style="117" bestFit="1" customWidth="1"/>
    <col min="10" max="10" width="24.31640625" style="117" bestFit="1" customWidth="1"/>
    <col min="11" max="19" width="8.86328125" style="117"/>
    <col min="20" max="23" width="8.86328125" style="117" customWidth="1"/>
    <col min="24" max="16384" width="8.86328125" style="117"/>
  </cols>
  <sheetData>
    <row r="1" spans="1:9" ht="37"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6">
      <c r="A19" s="120"/>
      <c r="B19" s="121"/>
      <c r="D19" s="120"/>
      <c r="E19" s="121"/>
      <c r="F19" s="117" t="str">
        <f t="shared" si="0"/>
        <v/>
      </c>
      <c r="G19" s="120"/>
      <c r="H19" s="121"/>
      <c r="I19" s="117" t="str">
        <f t="shared" si="1"/>
        <v/>
      </c>
      <c r="J19" s="122"/>
    </row>
    <row r="20" spans="1:10" ht="15.6">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796875" defaultRowHeight="13.8"/>
  <cols>
    <col min="1" max="1" width="8.6796875" style="110"/>
    <col min="2" max="2" width="8.6796875" style="109"/>
    <col min="3" max="4" width="8.6796875" style="108"/>
    <col min="5" max="5" width="8.6796875" style="109"/>
    <col min="6" max="16384" width="8.679687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6328125" defaultRowHeight="16.5"/>
  <cols>
    <col min="1" max="1" width="43" style="5" customWidth="1"/>
    <col min="2" max="2" width="26" style="2" bestFit="1" customWidth="1"/>
    <col min="3" max="3" width="52.453125" style="2" customWidth="1"/>
    <col min="4" max="4" width="25.76953125" style="2" bestFit="1" customWidth="1"/>
    <col min="5" max="5" width="30.54296875" style="2" bestFit="1" customWidth="1"/>
    <col min="6" max="6" width="29.2265625" style="2" bestFit="1" customWidth="1"/>
    <col min="7" max="7" width="27.31640625" style="5" customWidth="1"/>
    <col min="8" max="8" width="23.54296875" style="5" bestFit="1" customWidth="1"/>
    <col min="9" max="9" width="21.08984375" style="5" bestFit="1" customWidth="1"/>
    <col min="10" max="10" width="24.54296875" style="5" bestFit="1" customWidth="1"/>
    <col min="11" max="11" width="5.76953125" style="5" bestFit="1" customWidth="1"/>
    <col min="12" max="12" width="17.86328125" style="5" bestFit="1" customWidth="1"/>
    <col min="13" max="13" width="14.54296875" style="5" bestFit="1" customWidth="1"/>
    <col min="14" max="14" width="14.2265625" style="5" bestFit="1" customWidth="1"/>
    <col min="15" max="15" width="14.08984375" style="5" bestFit="1" customWidth="1"/>
    <col min="16" max="16" width="22.08984375" style="5" bestFit="1" customWidth="1"/>
    <col min="17" max="17" width="4.453125" style="5" bestFit="1" customWidth="1"/>
    <col min="18" max="18" width="17.453125" style="5" bestFit="1" customWidth="1"/>
    <col min="19" max="19" width="8.86328125" style="5"/>
    <col min="20" max="20" width="16.6796875" style="5" customWidth="1"/>
    <col min="21" max="21" width="8.86328125" style="5" customWidth="1"/>
    <col min="22" max="22" width="19.453125" style="5" customWidth="1"/>
    <col min="23" max="23" width="8.86328125" style="5" customWidth="1"/>
    <col min="24" max="24" width="22.08984375" style="5" bestFit="1" customWidth="1"/>
    <col min="25" max="25" width="8.86328125" style="5"/>
    <col min="26" max="26" width="28.76953125" style="5" bestFit="1" customWidth="1"/>
    <col min="27" max="27" width="7.31640625" style="5" bestFit="1" customWidth="1"/>
    <col min="28" max="28" width="12.76953125" style="5" bestFit="1" customWidth="1"/>
    <col min="29" max="29" width="44.86328125" style="5" customWidth="1"/>
    <col min="30" max="30" width="25.2265625" style="5" bestFit="1" customWidth="1"/>
    <col min="31" max="31" width="14.453125" style="5" bestFit="1" customWidth="1"/>
    <col min="32" max="32" width="22.08984375" style="5" bestFit="1" customWidth="1"/>
    <col min="33" max="33" width="4.453125" style="5" bestFit="1" customWidth="1"/>
    <col min="34" max="34" width="30.08984375" style="5" bestFit="1" customWidth="1"/>
    <col min="35" max="39" width="8.86328125" style="5"/>
    <col min="40" max="40" width="22.08984375" style="5" bestFit="1" customWidth="1"/>
    <col min="41" max="41" width="8.86328125" style="5"/>
    <col min="42" max="42" width="15.2265625" style="5" bestFit="1" customWidth="1"/>
    <col min="43" max="43" width="8.86328125" style="5"/>
    <col min="44" max="44" width="12.76953125" style="5" bestFit="1" customWidth="1"/>
    <col min="45" max="45" width="8.86328125" style="5"/>
    <col min="46" max="46" width="14.2265625" style="5" bestFit="1" customWidth="1"/>
    <col min="47" max="47" width="8.86328125" style="5"/>
    <col min="48" max="48" width="22.08984375" style="5" bestFit="1" customWidth="1"/>
    <col min="49" max="49" width="8.86328125" style="5"/>
    <col min="50" max="50" width="15.2265625" style="5" bestFit="1" customWidth="1"/>
    <col min="51" max="51" width="8.86328125" style="5"/>
    <col min="52" max="52" width="12.76953125" style="5" bestFit="1" customWidth="1"/>
    <col min="53" max="53" width="8.86328125" style="5"/>
    <col min="54" max="54" width="14.2265625" style="5" bestFit="1" customWidth="1"/>
    <col min="55" max="55" width="8.86328125" style="5"/>
    <col min="56" max="56" width="22.08984375" style="5" bestFit="1" customWidth="1"/>
    <col min="57" max="57" width="8.86328125" style="5"/>
    <col min="58" max="58" width="15.2265625" style="5" bestFit="1" customWidth="1"/>
    <col min="59" max="59" width="8.86328125" style="5"/>
    <col min="60" max="60" width="12.76953125" style="5" bestFit="1" customWidth="1"/>
    <col min="61" max="61" width="8.86328125" style="5"/>
    <col min="62" max="62" width="14.2265625" style="5" bestFit="1" customWidth="1"/>
    <col min="63" max="63" width="8.86328125" style="5"/>
    <col min="64" max="64" width="22.08984375" style="5" bestFit="1" customWidth="1"/>
    <col min="65" max="65" width="8.86328125" style="5"/>
    <col min="66" max="66" width="30" style="5" bestFit="1" customWidth="1"/>
    <col min="67" max="16384" width="8.8632812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6.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6.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9"/>
  <cols>
    <col min="1" max="1" width="11.2265625" style="89" bestFit="1" customWidth="1"/>
    <col min="2" max="2" width="12.54296875" style="89" bestFit="1" customWidth="1"/>
    <col min="3" max="3" width="13.54296875" style="89" bestFit="1" customWidth="1"/>
    <col min="4" max="4" width="52.54296875" style="89" customWidth="1"/>
    <col min="5" max="5" width="45.86328125" style="89" customWidth="1"/>
    <col min="6" max="7" width="32.86328125" style="89" customWidth="1"/>
    <col min="8" max="16384" width="29" style="89"/>
  </cols>
  <sheetData>
    <row r="1" spans="1:6" s="129" customFormat="1" ht="24.75" customHeight="1">
      <c r="A1" s="129" t="s">
        <v>831</v>
      </c>
      <c r="B1" s="129" t="s">
        <v>832</v>
      </c>
      <c r="C1" s="129" t="s">
        <v>833</v>
      </c>
      <c r="D1" s="129" t="s">
        <v>185</v>
      </c>
      <c r="E1" s="129" t="s">
        <v>184</v>
      </c>
    </row>
    <row r="2" spans="1:6" ht="77.400000000000006">
      <c r="A2" s="89" t="s">
        <v>1063</v>
      </c>
      <c r="B2" s="89">
        <v>1</v>
      </c>
      <c r="D2" s="89" t="s">
        <v>834</v>
      </c>
      <c r="E2" s="89" t="s">
        <v>546</v>
      </c>
      <c r="F2" s="103"/>
    </row>
    <row r="3" spans="1:6" ht="81">
      <c r="A3" s="89">
        <v>450</v>
      </c>
      <c r="B3" s="89">
        <v>2</v>
      </c>
      <c r="D3" s="89" t="s">
        <v>835</v>
      </c>
      <c r="E3" s="89" t="s">
        <v>836</v>
      </c>
      <c r="F3" s="103"/>
    </row>
    <row r="4" spans="1:6" ht="67.5">
      <c r="B4" s="89">
        <v>3</v>
      </c>
      <c r="D4" s="89" t="s">
        <v>817</v>
      </c>
      <c r="E4" s="130" t="s">
        <v>547</v>
      </c>
      <c r="F4" s="102"/>
    </row>
    <row r="5" spans="1:6" ht="67.5">
      <c r="B5" s="89">
        <v>4</v>
      </c>
      <c r="D5" s="89" t="s">
        <v>837</v>
      </c>
      <c r="E5" s="130" t="s">
        <v>548</v>
      </c>
      <c r="F5" s="102"/>
    </row>
    <row r="6" spans="1:6" ht="67.5">
      <c r="B6" s="89">
        <v>5</v>
      </c>
      <c r="D6" s="89" t="s">
        <v>838</v>
      </c>
      <c r="E6" s="89" t="s">
        <v>549</v>
      </c>
      <c r="F6" s="102"/>
    </row>
    <row r="7" spans="1:6" ht="58.5" customHeight="1">
      <c r="B7" s="89">
        <v>6</v>
      </c>
      <c r="D7" s="89" t="s">
        <v>1049</v>
      </c>
      <c r="E7" s="130" t="s">
        <v>989</v>
      </c>
    </row>
    <row r="8" spans="1:6" ht="14.4">
      <c r="B8" s="89">
        <v>101</v>
      </c>
      <c r="D8" s="89" t="s">
        <v>321</v>
      </c>
      <c r="E8" s="89" t="s">
        <v>516</v>
      </c>
      <c r="F8" s="103"/>
    </row>
    <row r="9" spans="1:6" ht="14.4">
      <c r="B9" s="89">
        <v>102</v>
      </c>
      <c r="D9" s="89" t="s">
        <v>189</v>
      </c>
      <c r="E9" s="89" t="s">
        <v>517</v>
      </c>
      <c r="F9" s="103"/>
    </row>
    <row r="10" spans="1:6" ht="14.4">
      <c r="B10" s="89">
        <v>103</v>
      </c>
      <c r="D10" s="89" t="s">
        <v>190</v>
      </c>
      <c r="E10" s="89" t="s">
        <v>518</v>
      </c>
      <c r="F10" s="103"/>
    </row>
    <row r="11" spans="1:6" ht="14.4">
      <c r="B11" s="89">
        <v>104</v>
      </c>
      <c r="D11" s="89" t="s">
        <v>191</v>
      </c>
      <c r="E11" s="89" t="s">
        <v>519</v>
      </c>
      <c r="F11" s="103"/>
    </row>
    <row r="12" spans="1:6" ht="14.4">
      <c r="B12" s="89">
        <v>105</v>
      </c>
      <c r="D12" s="89" t="s">
        <v>192</v>
      </c>
      <c r="E12" s="89" t="s">
        <v>520</v>
      </c>
      <c r="F12" s="104"/>
    </row>
    <row r="13" spans="1:6" ht="14.4">
      <c r="B13" s="89">
        <v>106</v>
      </c>
      <c r="D13" s="89" t="s">
        <v>525</v>
      </c>
      <c r="E13" s="130" t="s">
        <v>338</v>
      </c>
      <c r="F13" s="103"/>
    </row>
    <row r="14" spans="1:6" ht="14.4">
      <c r="B14" s="89">
        <v>107</v>
      </c>
      <c r="D14" s="89" t="s">
        <v>521</v>
      </c>
      <c r="E14" s="130" t="s">
        <v>522</v>
      </c>
      <c r="F14" s="103"/>
    </row>
    <row r="15" spans="1:6" ht="14.4">
      <c r="B15" s="89">
        <v>108</v>
      </c>
      <c r="D15" s="89" t="s">
        <v>193</v>
      </c>
      <c r="E15" s="130" t="s">
        <v>526</v>
      </c>
      <c r="F15" s="104"/>
    </row>
    <row r="16" spans="1:6" ht="14.4">
      <c r="B16" s="89">
        <v>109</v>
      </c>
      <c r="D16" s="89" t="s">
        <v>194</v>
      </c>
      <c r="E16" s="130" t="s">
        <v>527</v>
      </c>
      <c r="F16" s="103"/>
    </row>
    <row r="17" spans="1:9" ht="14.4">
      <c r="B17" s="89">
        <v>110</v>
      </c>
      <c r="D17" s="89" t="s">
        <v>137</v>
      </c>
      <c r="E17" s="130" t="s">
        <v>339</v>
      </c>
      <c r="F17" s="103"/>
    </row>
    <row r="18" spans="1:9" ht="14.4">
      <c r="B18" s="89">
        <v>11001</v>
      </c>
      <c r="C18" s="89" t="s">
        <v>839</v>
      </c>
      <c r="D18" s="89" t="s">
        <v>840</v>
      </c>
      <c r="E18" s="130" t="s">
        <v>339</v>
      </c>
      <c r="F18" s="103"/>
    </row>
    <row r="19" spans="1:9" ht="14.4">
      <c r="B19" s="89">
        <v>111</v>
      </c>
      <c r="D19" s="89" t="s">
        <v>528</v>
      </c>
      <c r="E19" s="89" t="s">
        <v>529</v>
      </c>
      <c r="F19" s="103"/>
    </row>
    <row r="20" spans="1:9" ht="14.4">
      <c r="B20" s="89">
        <v>112</v>
      </c>
      <c r="D20" s="89" t="s">
        <v>195</v>
      </c>
      <c r="E20" s="89" t="s">
        <v>530</v>
      </c>
      <c r="F20" s="103"/>
    </row>
    <row r="21" spans="1:9" ht="27">
      <c r="B21" s="89">
        <v>113</v>
      </c>
      <c r="D21" s="89" t="s">
        <v>841</v>
      </c>
      <c r="E21" s="89" t="s">
        <v>842</v>
      </c>
      <c r="F21" s="103"/>
    </row>
    <row r="22" spans="1:9" ht="14.4">
      <c r="B22" s="89">
        <v>114</v>
      </c>
      <c r="D22" s="89" t="s">
        <v>843</v>
      </c>
      <c r="E22" s="89" t="s">
        <v>531</v>
      </c>
      <c r="F22" s="103"/>
    </row>
    <row r="23" spans="1:9" ht="27">
      <c r="B23" s="89">
        <v>115</v>
      </c>
      <c r="D23" s="89" t="s">
        <v>532</v>
      </c>
      <c r="E23" s="89" t="s">
        <v>533</v>
      </c>
      <c r="F23" s="103"/>
    </row>
    <row r="24" spans="1:9" ht="14.4">
      <c r="B24" s="89">
        <v>116</v>
      </c>
      <c r="D24" s="89" t="s">
        <v>534</v>
      </c>
      <c r="E24" s="89" t="s">
        <v>535</v>
      </c>
      <c r="F24" s="103"/>
    </row>
    <row r="25" spans="1:9" ht="14.4">
      <c r="B25" s="89">
        <v>117</v>
      </c>
      <c r="D25" s="89" t="s">
        <v>844</v>
      </c>
      <c r="E25" s="89" t="s">
        <v>536</v>
      </c>
      <c r="F25" s="103"/>
    </row>
    <row r="26" spans="1:9" ht="14.4">
      <c r="B26" s="89">
        <v>118</v>
      </c>
      <c r="D26" s="89" t="s">
        <v>537</v>
      </c>
      <c r="E26" s="130" t="s">
        <v>538</v>
      </c>
      <c r="F26" s="103"/>
    </row>
    <row r="27" spans="1:9" ht="14.4">
      <c r="B27" s="89">
        <v>119</v>
      </c>
      <c r="D27" s="89" t="s">
        <v>539</v>
      </c>
      <c r="E27" s="89" t="s">
        <v>540</v>
      </c>
      <c r="F27" s="103"/>
    </row>
    <row r="28" spans="1:9" ht="14.4">
      <c r="B28" s="89">
        <v>120</v>
      </c>
      <c r="D28" s="89" t="s">
        <v>541</v>
      </c>
      <c r="E28" s="89" t="s">
        <v>542</v>
      </c>
      <c r="F28" s="103"/>
    </row>
    <row r="29" spans="1:9" s="91" customFormat="1" ht="14.4">
      <c r="A29" s="89"/>
      <c r="B29" s="89">
        <v>121</v>
      </c>
      <c r="C29" s="89"/>
      <c r="D29" s="89" t="s">
        <v>543</v>
      </c>
      <c r="E29" s="89" t="s">
        <v>544</v>
      </c>
      <c r="F29" s="103"/>
      <c r="G29" s="89"/>
      <c r="H29" s="89"/>
      <c r="I29" s="89"/>
    </row>
    <row r="30" spans="1:9" ht="27">
      <c r="B30" s="89">
        <v>122</v>
      </c>
      <c r="D30" s="89" t="s">
        <v>845</v>
      </c>
      <c r="E30" s="89" t="s">
        <v>545</v>
      </c>
      <c r="F30" s="103"/>
    </row>
    <row r="31" spans="1:9" ht="14.4">
      <c r="B31" s="89">
        <v>123</v>
      </c>
      <c r="D31" s="89" t="s">
        <v>188</v>
      </c>
      <c r="E31" s="89" t="s">
        <v>550</v>
      </c>
      <c r="F31" s="102"/>
    </row>
    <row r="32" spans="1:9" ht="14.4">
      <c r="B32" s="89">
        <v>124</v>
      </c>
      <c r="D32" s="89" t="s">
        <v>340</v>
      </c>
      <c r="E32" s="89" t="s">
        <v>551</v>
      </c>
      <c r="F32" s="103"/>
    </row>
    <row r="33" spans="2:6" ht="14.4">
      <c r="B33" s="89">
        <v>125</v>
      </c>
      <c r="D33" s="89" t="s">
        <v>318</v>
      </c>
      <c r="E33" s="89" t="s">
        <v>552</v>
      </c>
      <c r="F33" s="103"/>
    </row>
    <row r="34" spans="2:6" ht="14.4">
      <c r="B34" s="89">
        <v>126</v>
      </c>
      <c r="D34" s="89" t="s">
        <v>196</v>
      </c>
      <c r="E34" s="89" t="s">
        <v>197</v>
      </c>
      <c r="F34" s="103"/>
    </row>
    <row r="35" spans="2:6" ht="14.4">
      <c r="B35" s="89">
        <v>127</v>
      </c>
      <c r="D35" s="89" t="s">
        <v>198</v>
      </c>
      <c r="E35" s="89" t="s">
        <v>553</v>
      </c>
      <c r="F35" s="103"/>
    </row>
    <row r="36" spans="2:6" ht="14.4">
      <c r="B36" s="89">
        <v>128</v>
      </c>
      <c r="D36" s="89" t="s">
        <v>511</v>
      </c>
      <c r="E36" s="131">
        <v>42705</v>
      </c>
      <c r="F36" s="103"/>
    </row>
    <row r="37" spans="2:6" ht="14.4">
      <c r="B37" s="89">
        <v>129</v>
      </c>
      <c r="D37" s="89" t="s">
        <v>511</v>
      </c>
      <c r="E37" s="131">
        <v>42705</v>
      </c>
      <c r="F37" s="103"/>
    </row>
    <row r="38" spans="2:6" ht="14.4">
      <c r="B38" s="89">
        <v>130</v>
      </c>
      <c r="D38" s="89" t="s">
        <v>512</v>
      </c>
      <c r="E38" s="131">
        <v>42735</v>
      </c>
      <c r="F38" s="103"/>
    </row>
    <row r="39" spans="2:6" ht="14.4">
      <c r="B39" s="89">
        <v>131</v>
      </c>
      <c r="D39" s="89" t="s">
        <v>512</v>
      </c>
      <c r="E39" s="131">
        <v>42735</v>
      </c>
      <c r="F39" s="103"/>
    </row>
    <row r="40" spans="2:6" ht="14.4">
      <c r="B40" s="89">
        <v>132</v>
      </c>
      <c r="D40" s="89" t="s">
        <v>150</v>
      </c>
      <c r="E40" s="89" t="s">
        <v>150</v>
      </c>
      <c r="F40" s="103"/>
    </row>
    <row r="41" spans="2:6" ht="14.4">
      <c r="B41" s="89">
        <v>133</v>
      </c>
      <c r="D41" s="89" t="s">
        <v>341</v>
      </c>
      <c r="E41" s="130" t="s">
        <v>554</v>
      </c>
      <c r="F41" s="103"/>
    </row>
    <row r="42" spans="2:6" ht="14.4">
      <c r="B42" s="89">
        <v>134</v>
      </c>
      <c r="D42" s="89" t="s">
        <v>846</v>
      </c>
      <c r="E42" s="130" t="s">
        <v>847</v>
      </c>
      <c r="F42" s="103"/>
    </row>
    <row r="43" spans="2:6" ht="27">
      <c r="B43" s="89">
        <v>135</v>
      </c>
      <c r="D43" s="89" t="s">
        <v>342</v>
      </c>
      <c r="E43" s="130" t="s">
        <v>555</v>
      </c>
      <c r="F43" s="103"/>
    </row>
    <row r="44" spans="2:6" ht="27">
      <c r="B44" s="89">
        <v>136</v>
      </c>
      <c r="D44" s="89" t="s">
        <v>199</v>
      </c>
      <c r="E44" s="130" t="s">
        <v>556</v>
      </c>
      <c r="F44" s="104"/>
    </row>
    <row r="45" spans="2:6" ht="14.4">
      <c r="B45" s="89">
        <v>137</v>
      </c>
      <c r="D45" s="89" t="s">
        <v>200</v>
      </c>
      <c r="E45" s="130" t="s">
        <v>343</v>
      </c>
      <c r="F45" s="104"/>
    </row>
    <row r="46" spans="2:6" ht="27">
      <c r="B46" s="89">
        <v>138</v>
      </c>
      <c r="D46" s="89" t="s">
        <v>344</v>
      </c>
      <c r="E46" s="130" t="s">
        <v>557</v>
      </c>
      <c r="F46" s="104"/>
    </row>
    <row r="47" spans="2:6" ht="14.4">
      <c r="B47" s="89">
        <v>139</v>
      </c>
      <c r="D47" s="89" t="s">
        <v>201</v>
      </c>
      <c r="E47" s="130" t="s">
        <v>558</v>
      </c>
      <c r="F47" s="103"/>
    </row>
    <row r="48" spans="2:6" ht="27">
      <c r="B48" s="89">
        <v>140</v>
      </c>
      <c r="D48" s="89" t="s">
        <v>345</v>
      </c>
      <c r="E48" s="130" t="s">
        <v>559</v>
      </c>
      <c r="F48" s="103"/>
    </row>
    <row r="49" spans="1:6" ht="27">
      <c r="B49" s="89">
        <v>141</v>
      </c>
      <c r="D49" s="89" t="s">
        <v>202</v>
      </c>
      <c r="E49" s="130" t="s">
        <v>560</v>
      </c>
      <c r="F49" s="103"/>
    </row>
    <row r="50" spans="1:6" ht="14.4">
      <c r="A50" s="90"/>
      <c r="B50" s="89">
        <v>142</v>
      </c>
      <c r="D50" s="89" t="s">
        <v>203</v>
      </c>
      <c r="E50" s="130" t="s">
        <v>346</v>
      </c>
      <c r="F50" s="103"/>
    </row>
    <row r="51" spans="1:6" ht="14.4">
      <c r="A51" s="90"/>
      <c r="B51" s="89">
        <v>143</v>
      </c>
      <c r="D51" s="89" t="s">
        <v>347</v>
      </c>
      <c r="E51" s="130" t="s">
        <v>561</v>
      </c>
      <c r="F51" s="103"/>
    </row>
    <row r="52" spans="1:6" ht="14.4">
      <c r="A52" s="90"/>
      <c r="B52" s="89">
        <v>144</v>
      </c>
      <c r="D52" s="89" t="s">
        <v>204</v>
      </c>
      <c r="E52" s="130" t="s">
        <v>562</v>
      </c>
      <c r="F52" s="103"/>
    </row>
    <row r="53" spans="1:6" ht="27">
      <c r="A53" s="90"/>
      <c r="B53" s="89">
        <v>145</v>
      </c>
      <c r="D53" s="89" t="s">
        <v>348</v>
      </c>
      <c r="E53" s="130" t="s">
        <v>563</v>
      </c>
      <c r="F53" s="103"/>
    </row>
    <row r="54" spans="1:6" ht="14.4">
      <c r="A54" s="90"/>
      <c r="B54" s="89">
        <v>146</v>
      </c>
      <c r="D54" s="89" t="s">
        <v>564</v>
      </c>
      <c r="E54" s="130" t="s">
        <v>848</v>
      </c>
      <c r="F54" s="103"/>
    </row>
    <row r="55" spans="1:6" ht="14.4">
      <c r="A55" s="90"/>
      <c r="B55" s="89">
        <v>14601</v>
      </c>
      <c r="C55" s="89" t="s">
        <v>849</v>
      </c>
      <c r="D55" s="89" t="s">
        <v>850</v>
      </c>
      <c r="E55" s="130" t="s">
        <v>851</v>
      </c>
      <c r="F55" s="103"/>
    </row>
    <row r="56" spans="1:6" ht="14.4">
      <c r="A56" s="90"/>
      <c r="B56" s="89">
        <v>147</v>
      </c>
      <c r="D56" s="89" t="s">
        <v>565</v>
      </c>
      <c r="E56" s="130" t="s">
        <v>818</v>
      </c>
      <c r="F56" s="103"/>
    </row>
    <row r="57" spans="1:6" ht="14.4">
      <c r="A57" s="90"/>
      <c r="B57" s="89">
        <v>148</v>
      </c>
      <c r="D57" s="89" t="s">
        <v>133</v>
      </c>
      <c r="E57" s="130" t="s">
        <v>566</v>
      </c>
      <c r="F57" s="103"/>
    </row>
    <row r="58" spans="1:6" ht="14.4">
      <c r="A58" s="90"/>
      <c r="B58" s="89">
        <v>14801</v>
      </c>
      <c r="C58" s="89" t="s">
        <v>849</v>
      </c>
      <c r="D58" s="89" t="s">
        <v>852</v>
      </c>
      <c r="E58" s="130" t="s">
        <v>853</v>
      </c>
      <c r="F58" s="103"/>
    </row>
    <row r="59" spans="1:6" ht="14.4">
      <c r="A59" s="90"/>
      <c r="B59" s="89">
        <v>149</v>
      </c>
      <c r="D59" s="89" t="s">
        <v>132</v>
      </c>
      <c r="E59" s="130" t="s">
        <v>567</v>
      </c>
      <c r="F59" s="103"/>
    </row>
    <row r="60" spans="1:6" ht="14.4">
      <c r="A60" s="90"/>
      <c r="B60" s="89">
        <v>14901</v>
      </c>
      <c r="C60" s="89" t="s">
        <v>839</v>
      </c>
      <c r="D60" s="89" t="s">
        <v>854</v>
      </c>
      <c r="E60" s="130" t="s">
        <v>855</v>
      </c>
      <c r="F60" s="103"/>
    </row>
    <row r="61" spans="1:6" ht="14.4">
      <c r="A61" s="90"/>
      <c r="B61" s="89">
        <v>150</v>
      </c>
      <c r="D61" s="89" t="s">
        <v>856</v>
      </c>
      <c r="E61" s="130" t="s">
        <v>857</v>
      </c>
      <c r="F61" s="103"/>
    </row>
    <row r="62" spans="1:6" ht="14.4">
      <c r="A62" s="90"/>
      <c r="B62" s="89">
        <v>151</v>
      </c>
      <c r="D62" s="89" t="s">
        <v>135</v>
      </c>
      <c r="E62" s="130" t="s">
        <v>568</v>
      </c>
      <c r="F62" s="103"/>
    </row>
    <row r="63" spans="1:6" ht="14.4">
      <c r="A63" s="90"/>
      <c r="B63" s="89">
        <v>15101</v>
      </c>
      <c r="C63" s="89" t="s">
        <v>839</v>
      </c>
      <c r="D63" s="89" t="s">
        <v>858</v>
      </c>
      <c r="E63" s="130" t="s">
        <v>859</v>
      </c>
      <c r="F63" s="103"/>
    </row>
    <row r="64" spans="1:6" ht="14.4">
      <c r="A64" s="90"/>
      <c r="B64" s="89">
        <v>152</v>
      </c>
      <c r="D64" s="89" t="s">
        <v>134</v>
      </c>
      <c r="E64" s="130" t="s">
        <v>569</v>
      </c>
      <c r="F64" s="103"/>
    </row>
    <row r="65" spans="1:6" ht="14.4">
      <c r="A65" s="90"/>
      <c r="B65" s="89">
        <v>15201</v>
      </c>
      <c r="C65" s="89" t="s">
        <v>849</v>
      </c>
      <c r="D65" s="89" t="s">
        <v>860</v>
      </c>
      <c r="E65" s="130" t="s">
        <v>861</v>
      </c>
      <c r="F65" s="103"/>
    </row>
    <row r="66" spans="1:6" ht="14.4">
      <c r="A66" s="90"/>
      <c r="B66" s="89">
        <v>153</v>
      </c>
      <c r="D66" s="89" t="s">
        <v>205</v>
      </c>
      <c r="E66" s="130" t="s">
        <v>570</v>
      </c>
      <c r="F66" s="103"/>
    </row>
    <row r="67" spans="1:6" ht="14.4">
      <c r="B67" s="89">
        <v>154</v>
      </c>
      <c r="D67" s="89" t="s">
        <v>349</v>
      </c>
      <c r="E67" s="130" t="s">
        <v>571</v>
      </c>
      <c r="F67" s="103"/>
    </row>
    <row r="68" spans="1:6" ht="27">
      <c r="B68" s="89">
        <v>155</v>
      </c>
      <c r="D68" s="89" t="s">
        <v>337</v>
      </c>
      <c r="E68" s="130" t="s">
        <v>572</v>
      </c>
      <c r="F68" s="103"/>
    </row>
    <row r="69" spans="1:6" ht="14.4">
      <c r="B69" s="89">
        <v>156</v>
      </c>
      <c r="D69" s="89" t="s">
        <v>206</v>
      </c>
      <c r="E69" s="89" t="s">
        <v>206</v>
      </c>
      <c r="F69" s="103"/>
    </row>
    <row r="70" spans="1:6" ht="14.4">
      <c r="B70" s="89">
        <v>157</v>
      </c>
      <c r="D70" s="89" t="s">
        <v>207</v>
      </c>
      <c r="E70" s="130" t="s">
        <v>573</v>
      </c>
      <c r="F70" s="103"/>
    </row>
    <row r="71" spans="1:6" ht="14.4">
      <c r="B71" s="89">
        <v>158</v>
      </c>
      <c r="D71" s="89" t="s">
        <v>115</v>
      </c>
      <c r="E71" s="89" t="s">
        <v>574</v>
      </c>
      <c r="F71" s="103"/>
    </row>
    <row r="72" spans="1:6" ht="14.4">
      <c r="B72" s="89">
        <v>159</v>
      </c>
      <c r="D72" s="89" t="s">
        <v>122</v>
      </c>
      <c r="E72" s="130" t="s">
        <v>575</v>
      </c>
      <c r="F72" s="103"/>
    </row>
    <row r="73" spans="1:6" ht="14.4">
      <c r="B73" s="89">
        <v>160</v>
      </c>
      <c r="D73" s="89" t="s">
        <v>208</v>
      </c>
      <c r="E73" s="130" t="s">
        <v>576</v>
      </c>
      <c r="F73" s="103"/>
    </row>
    <row r="74" spans="1:6" ht="27">
      <c r="B74" s="89">
        <v>161</v>
      </c>
      <c r="D74" s="89" t="s">
        <v>320</v>
      </c>
      <c r="E74" s="130" t="s">
        <v>577</v>
      </c>
      <c r="F74" s="103"/>
    </row>
    <row r="75" spans="1:6" ht="27">
      <c r="B75" s="89">
        <v>162</v>
      </c>
      <c r="D75" s="89" t="s">
        <v>350</v>
      </c>
      <c r="E75" s="130" t="s">
        <v>578</v>
      </c>
      <c r="F75" s="103"/>
    </row>
    <row r="76" spans="1:6" ht="14.4">
      <c r="B76" s="89">
        <v>163</v>
      </c>
      <c r="D76" s="89" t="s">
        <v>138</v>
      </c>
      <c r="E76" s="130" t="s">
        <v>579</v>
      </c>
      <c r="F76" s="103"/>
    </row>
    <row r="77" spans="1:6" ht="14.4">
      <c r="B77" s="89">
        <v>164</v>
      </c>
      <c r="D77" s="89" t="s">
        <v>145</v>
      </c>
      <c r="E77" s="130" t="s">
        <v>333</v>
      </c>
      <c r="F77" s="103"/>
    </row>
    <row r="78" spans="1:6" ht="14.4">
      <c r="B78" s="89">
        <v>165</v>
      </c>
      <c r="D78" s="89" t="s">
        <v>209</v>
      </c>
      <c r="E78" s="130" t="s">
        <v>351</v>
      </c>
      <c r="F78" s="103"/>
    </row>
    <row r="79" spans="1:6" ht="14.4">
      <c r="B79" s="89">
        <v>166</v>
      </c>
      <c r="D79" s="89" t="s">
        <v>210</v>
      </c>
      <c r="E79" s="130" t="s">
        <v>580</v>
      </c>
      <c r="F79" s="103"/>
    </row>
    <row r="80" spans="1:6" ht="27">
      <c r="B80" s="89">
        <v>167</v>
      </c>
      <c r="D80" s="89" t="s">
        <v>352</v>
      </c>
      <c r="E80" s="130" t="s">
        <v>581</v>
      </c>
      <c r="F80" s="103"/>
    </row>
    <row r="81" spans="2:6" ht="14.4">
      <c r="B81" s="89">
        <v>168</v>
      </c>
      <c r="D81" s="89" t="s">
        <v>862</v>
      </c>
      <c r="E81" s="89" t="s">
        <v>582</v>
      </c>
      <c r="F81" s="103"/>
    </row>
    <row r="82" spans="2:6" ht="14.4">
      <c r="B82" s="89">
        <v>169</v>
      </c>
      <c r="D82" s="89" t="s">
        <v>211</v>
      </c>
      <c r="E82" s="89" t="s">
        <v>583</v>
      </c>
      <c r="F82" s="103"/>
    </row>
    <row r="83" spans="2:6" ht="14.4">
      <c r="B83" s="89">
        <v>170</v>
      </c>
      <c r="D83" s="89" t="s">
        <v>212</v>
      </c>
      <c r="E83" s="130" t="s">
        <v>584</v>
      </c>
      <c r="F83" s="103"/>
    </row>
    <row r="84" spans="2:6" ht="27">
      <c r="B84" s="89">
        <v>171</v>
      </c>
      <c r="D84" s="89" t="s">
        <v>213</v>
      </c>
      <c r="E84" s="130" t="s">
        <v>585</v>
      </c>
      <c r="F84" s="103"/>
    </row>
    <row r="85" spans="2:6" ht="27">
      <c r="B85" s="89">
        <v>172</v>
      </c>
      <c r="D85" s="89" t="s">
        <v>214</v>
      </c>
      <c r="E85" s="130" t="s">
        <v>586</v>
      </c>
      <c r="F85" s="103"/>
    </row>
    <row r="86" spans="2:6" ht="14.4">
      <c r="B86" s="89">
        <v>173</v>
      </c>
      <c r="D86" s="89" t="s">
        <v>118</v>
      </c>
      <c r="E86" s="89" t="s">
        <v>118</v>
      </c>
      <c r="F86" s="103"/>
    </row>
    <row r="87" spans="2:6" ht="14.4">
      <c r="B87" s="89">
        <v>174</v>
      </c>
      <c r="D87" s="89" t="s">
        <v>158</v>
      </c>
      <c r="E87" s="130" t="s">
        <v>353</v>
      </c>
      <c r="F87" s="103"/>
    </row>
    <row r="88" spans="2:6" ht="14.4">
      <c r="B88" s="89">
        <v>175</v>
      </c>
      <c r="D88" s="89" t="s">
        <v>313</v>
      </c>
      <c r="E88" s="130" t="s">
        <v>354</v>
      </c>
      <c r="F88" s="103"/>
    </row>
    <row r="89" spans="2:6" ht="14.4">
      <c r="B89" s="89">
        <v>176</v>
      </c>
      <c r="D89" s="89" t="s">
        <v>215</v>
      </c>
      <c r="E89" s="130" t="s">
        <v>355</v>
      </c>
      <c r="F89" s="103"/>
    </row>
    <row r="90" spans="2:6" ht="14.4">
      <c r="B90" s="89">
        <v>177</v>
      </c>
      <c r="D90" s="89" t="s">
        <v>216</v>
      </c>
      <c r="E90" s="130" t="s">
        <v>587</v>
      </c>
      <c r="F90" s="103"/>
    </row>
    <row r="91" spans="2:6" ht="14.4">
      <c r="B91" s="89">
        <v>178</v>
      </c>
      <c r="D91" s="89" t="s">
        <v>217</v>
      </c>
      <c r="E91" s="89" t="s">
        <v>588</v>
      </c>
      <c r="F91" s="103"/>
    </row>
    <row r="92" spans="2:6" ht="14.4">
      <c r="B92" s="89">
        <v>179</v>
      </c>
      <c r="D92" s="89" t="s">
        <v>218</v>
      </c>
      <c r="E92" s="89" t="s">
        <v>589</v>
      </c>
      <c r="F92" s="103"/>
    </row>
    <row r="93" spans="2:6" ht="14.4">
      <c r="B93" s="89">
        <v>180</v>
      </c>
      <c r="D93" s="89" t="s">
        <v>219</v>
      </c>
      <c r="E93" s="130" t="s">
        <v>590</v>
      </c>
      <c r="F93" s="103"/>
    </row>
    <row r="94" spans="2:6" ht="14.4">
      <c r="B94" s="89">
        <v>181</v>
      </c>
      <c r="D94" s="89" t="s">
        <v>220</v>
      </c>
      <c r="E94" s="130" t="s">
        <v>591</v>
      </c>
      <c r="F94" s="103"/>
    </row>
    <row r="95" spans="2:6" ht="14.4">
      <c r="B95" s="89">
        <v>182</v>
      </c>
      <c r="D95" s="89" t="s">
        <v>221</v>
      </c>
      <c r="E95" s="130" t="s">
        <v>592</v>
      </c>
      <c r="F95" s="103"/>
    </row>
    <row r="96" spans="2:6" ht="14.4">
      <c r="B96" s="89">
        <v>183</v>
      </c>
      <c r="D96" s="89" t="s">
        <v>112</v>
      </c>
      <c r="E96" s="130" t="s">
        <v>356</v>
      </c>
      <c r="F96" s="103"/>
    </row>
    <row r="97" spans="2:6" ht="14.4">
      <c r="B97" s="89">
        <v>184</v>
      </c>
      <c r="D97" s="89" t="s">
        <v>357</v>
      </c>
      <c r="E97" s="130" t="s">
        <v>593</v>
      </c>
      <c r="F97" s="103"/>
    </row>
    <row r="98" spans="2:6" ht="14.4">
      <c r="B98" s="89">
        <v>185</v>
      </c>
      <c r="D98" s="89" t="s">
        <v>121</v>
      </c>
      <c r="E98" s="130" t="s">
        <v>358</v>
      </c>
      <c r="F98" s="103"/>
    </row>
    <row r="99" spans="2:6" ht="14.4">
      <c r="B99" s="89">
        <v>186</v>
      </c>
      <c r="D99" s="89" t="s">
        <v>222</v>
      </c>
      <c r="E99" s="130" t="s">
        <v>594</v>
      </c>
      <c r="F99" s="103"/>
    </row>
    <row r="100" spans="2:6" ht="14.4">
      <c r="B100" s="89">
        <v>187</v>
      </c>
      <c r="D100" s="89" t="s">
        <v>223</v>
      </c>
      <c r="E100" s="130" t="s">
        <v>595</v>
      </c>
      <c r="F100" s="103"/>
    </row>
    <row r="101" spans="2:6" ht="14.4">
      <c r="B101" s="89">
        <v>188</v>
      </c>
      <c r="D101" s="89" t="s">
        <v>164</v>
      </c>
      <c r="E101" s="130" t="s">
        <v>596</v>
      </c>
      <c r="F101" s="103"/>
    </row>
    <row r="102" spans="2:6" ht="14.4">
      <c r="B102" s="89">
        <v>189</v>
      </c>
      <c r="D102" s="89" t="s">
        <v>162</v>
      </c>
      <c r="E102" s="130" t="s">
        <v>359</v>
      </c>
      <c r="F102" s="103"/>
    </row>
    <row r="103" spans="2:6" ht="14.4">
      <c r="B103" s="89">
        <v>190</v>
      </c>
      <c r="D103" s="89" t="s">
        <v>360</v>
      </c>
      <c r="E103" s="130" t="s">
        <v>597</v>
      </c>
      <c r="F103" s="103"/>
    </row>
    <row r="104" spans="2:6" ht="14.4">
      <c r="B104" s="89">
        <v>191</v>
      </c>
      <c r="D104" s="89" t="s">
        <v>361</v>
      </c>
      <c r="E104" s="130" t="s">
        <v>863</v>
      </c>
      <c r="F104" s="103"/>
    </row>
    <row r="105" spans="2:6" ht="14.4">
      <c r="B105" s="89">
        <v>192</v>
      </c>
      <c r="D105" s="89" t="s">
        <v>224</v>
      </c>
      <c r="E105" s="130" t="s">
        <v>598</v>
      </c>
      <c r="F105" s="103"/>
    </row>
    <row r="106" spans="2:6" ht="14.4">
      <c r="B106" s="89">
        <v>193</v>
      </c>
      <c r="D106" s="89" t="s">
        <v>161</v>
      </c>
      <c r="E106" s="130" t="s">
        <v>599</v>
      </c>
      <c r="F106" s="103"/>
    </row>
    <row r="107" spans="2:6" ht="14.4">
      <c r="B107" s="89">
        <v>194</v>
      </c>
      <c r="D107" s="89" t="s">
        <v>225</v>
      </c>
      <c r="E107" s="130" t="s">
        <v>600</v>
      </c>
      <c r="F107" s="103"/>
    </row>
    <row r="108" spans="2:6" ht="27">
      <c r="B108" s="89">
        <v>195</v>
      </c>
      <c r="D108" s="89" t="s">
        <v>362</v>
      </c>
      <c r="E108" s="130" t="s">
        <v>601</v>
      </c>
      <c r="F108" s="103"/>
    </row>
    <row r="109" spans="2:6" ht="14.4">
      <c r="B109" s="89">
        <v>196</v>
      </c>
      <c r="D109" s="89" t="s">
        <v>513</v>
      </c>
      <c r="E109" s="89" t="s">
        <v>602</v>
      </c>
      <c r="F109" s="103"/>
    </row>
    <row r="110" spans="2:6" ht="14.4">
      <c r="B110" s="89">
        <v>197</v>
      </c>
      <c r="D110" s="89" t="s">
        <v>169</v>
      </c>
      <c r="E110" s="130" t="s">
        <v>603</v>
      </c>
      <c r="F110" s="103"/>
    </row>
    <row r="111" spans="2:6" ht="14.4">
      <c r="B111" s="89">
        <v>198</v>
      </c>
      <c r="D111" s="89" t="s">
        <v>363</v>
      </c>
      <c r="E111" s="130" t="s">
        <v>604</v>
      </c>
      <c r="F111" s="103"/>
    </row>
    <row r="112" spans="2:6" ht="14.4">
      <c r="B112" s="89">
        <v>199</v>
      </c>
      <c r="D112" s="89" t="s">
        <v>226</v>
      </c>
      <c r="E112" s="130" t="s">
        <v>605</v>
      </c>
      <c r="F112" s="103"/>
    </row>
    <row r="113" spans="2:6" ht="14.4">
      <c r="B113" s="89">
        <v>200</v>
      </c>
      <c r="D113" s="89" t="s">
        <v>364</v>
      </c>
      <c r="E113" s="130" t="s">
        <v>606</v>
      </c>
      <c r="F113" s="103"/>
    </row>
    <row r="114" spans="2:6" ht="54">
      <c r="B114" s="89">
        <v>201</v>
      </c>
      <c r="D114" s="89" t="s">
        <v>607</v>
      </c>
      <c r="E114" s="130" t="s">
        <v>608</v>
      </c>
      <c r="F114" s="103"/>
    </row>
    <row r="115" spans="2:6" ht="14.4">
      <c r="B115" s="89">
        <v>202</v>
      </c>
      <c r="D115" s="89" t="s">
        <v>227</v>
      </c>
      <c r="E115" s="130" t="s">
        <v>609</v>
      </c>
      <c r="F115" s="103"/>
    </row>
    <row r="116" spans="2:6" ht="14.4">
      <c r="B116" s="89">
        <v>203</v>
      </c>
      <c r="D116" s="89" t="s">
        <v>148</v>
      </c>
      <c r="E116" s="130" t="s">
        <v>365</v>
      </c>
      <c r="F116" s="103"/>
    </row>
    <row r="117" spans="2:6" ht="14.4">
      <c r="B117" s="89">
        <v>204</v>
      </c>
      <c r="D117" s="89" t="s">
        <v>228</v>
      </c>
      <c r="E117" s="130" t="s">
        <v>366</v>
      </c>
      <c r="F117" s="103"/>
    </row>
    <row r="118" spans="2:6" ht="14.4">
      <c r="B118" s="89">
        <v>205</v>
      </c>
      <c r="D118" s="89" t="s">
        <v>229</v>
      </c>
      <c r="E118" s="130" t="s">
        <v>610</v>
      </c>
      <c r="F118" s="103"/>
    </row>
    <row r="119" spans="2:6" ht="14.4">
      <c r="B119" s="89">
        <v>206</v>
      </c>
      <c r="D119" s="89" t="s">
        <v>230</v>
      </c>
      <c r="E119" s="130" t="s">
        <v>367</v>
      </c>
      <c r="F119" s="103"/>
    </row>
    <row r="120" spans="2:6" ht="14.4">
      <c r="B120" s="89">
        <v>207</v>
      </c>
      <c r="D120" s="89" t="s">
        <v>231</v>
      </c>
      <c r="E120" s="130" t="s">
        <v>611</v>
      </c>
      <c r="F120" s="103"/>
    </row>
    <row r="121" spans="2:6" ht="14.4">
      <c r="B121" s="89">
        <v>208</v>
      </c>
      <c r="D121" s="89" t="s">
        <v>144</v>
      </c>
      <c r="E121" s="130" t="s">
        <v>368</v>
      </c>
      <c r="F121" s="103"/>
    </row>
    <row r="122" spans="2:6" ht="14.4">
      <c r="B122" s="89">
        <v>209</v>
      </c>
      <c r="D122" s="89" t="s">
        <v>127</v>
      </c>
      <c r="E122" s="130" t="s">
        <v>369</v>
      </c>
      <c r="F122" s="103"/>
    </row>
    <row r="123" spans="2:6" ht="14.4">
      <c r="B123" s="89">
        <v>210</v>
      </c>
      <c r="D123" s="89" t="s">
        <v>157</v>
      </c>
      <c r="E123" s="130" t="s">
        <v>370</v>
      </c>
      <c r="F123" s="103"/>
    </row>
    <row r="124" spans="2:6" ht="27">
      <c r="B124" s="89">
        <v>211</v>
      </c>
      <c r="D124" s="89" t="s">
        <v>371</v>
      </c>
      <c r="E124" s="130" t="s">
        <v>612</v>
      </c>
      <c r="F124" s="103"/>
    </row>
    <row r="125" spans="2:6" ht="14.4">
      <c r="B125" s="89">
        <v>212</v>
      </c>
      <c r="D125" s="89" t="s">
        <v>232</v>
      </c>
      <c r="E125" s="130" t="s">
        <v>613</v>
      </c>
      <c r="F125" s="103"/>
    </row>
    <row r="126" spans="2:6" ht="27">
      <c r="B126" s="89">
        <v>213</v>
      </c>
      <c r="D126" s="89" t="s">
        <v>372</v>
      </c>
      <c r="E126" s="130" t="s">
        <v>614</v>
      </c>
      <c r="F126" s="103"/>
    </row>
    <row r="127" spans="2:6" ht="14.4">
      <c r="B127" s="89">
        <v>214</v>
      </c>
      <c r="D127" s="89" t="s">
        <v>233</v>
      </c>
      <c r="E127" s="130" t="s">
        <v>615</v>
      </c>
      <c r="F127" s="103"/>
    </row>
    <row r="128" spans="2:6" ht="14.4">
      <c r="B128" s="89">
        <v>215</v>
      </c>
      <c r="D128" s="89" t="s">
        <v>180</v>
      </c>
      <c r="E128" s="130" t="s">
        <v>373</v>
      </c>
      <c r="F128" s="103"/>
    </row>
    <row r="129" spans="2:6" ht="14.1">
      <c r="B129" s="89">
        <v>216</v>
      </c>
      <c r="D129" s="89" t="s">
        <v>234</v>
      </c>
      <c r="E129" s="89" t="s">
        <v>616</v>
      </c>
      <c r="F129" s="105"/>
    </row>
    <row r="130" spans="2:6" ht="14.4">
      <c r="B130" s="89">
        <v>217</v>
      </c>
      <c r="D130" s="89" t="s">
        <v>374</v>
      </c>
      <c r="E130" s="89" t="s">
        <v>617</v>
      </c>
      <c r="F130" s="103"/>
    </row>
    <row r="131" spans="2:6" ht="14.4">
      <c r="B131" s="89">
        <v>218</v>
      </c>
      <c r="D131" s="89" t="s">
        <v>165</v>
      </c>
      <c r="E131" s="130" t="s">
        <v>864</v>
      </c>
      <c r="F131" s="103"/>
    </row>
    <row r="132" spans="2:6" ht="27">
      <c r="B132" s="89">
        <v>219</v>
      </c>
      <c r="D132" s="89" t="s">
        <v>375</v>
      </c>
      <c r="E132" s="130" t="s">
        <v>618</v>
      </c>
      <c r="F132" s="103"/>
    </row>
    <row r="133" spans="2:6" ht="27">
      <c r="B133" s="89">
        <v>220</v>
      </c>
      <c r="D133" s="89" t="s">
        <v>235</v>
      </c>
      <c r="E133" s="130" t="s">
        <v>619</v>
      </c>
      <c r="F133" s="103"/>
    </row>
    <row r="134" spans="2:6" ht="27">
      <c r="B134" s="89">
        <v>221</v>
      </c>
      <c r="D134" s="89" t="s">
        <v>376</v>
      </c>
      <c r="E134" s="89" t="s">
        <v>620</v>
      </c>
      <c r="F134" s="103"/>
    </row>
    <row r="135" spans="2:6" ht="14.4">
      <c r="B135" s="89">
        <v>222</v>
      </c>
      <c r="D135" s="89" t="s">
        <v>149</v>
      </c>
      <c r="E135" s="130" t="s">
        <v>377</v>
      </c>
      <c r="F135" s="103"/>
    </row>
    <row r="136" spans="2:6" ht="14.4">
      <c r="B136" s="89">
        <v>223</v>
      </c>
      <c r="D136" s="89" t="s">
        <v>236</v>
      </c>
      <c r="E136" s="130" t="s">
        <v>621</v>
      </c>
      <c r="F136" s="103"/>
    </row>
    <row r="137" spans="2:6" ht="14.4">
      <c r="B137" s="89">
        <v>224</v>
      </c>
      <c r="D137" s="89" t="s">
        <v>237</v>
      </c>
      <c r="E137" s="130" t="s">
        <v>622</v>
      </c>
      <c r="F137" s="104"/>
    </row>
    <row r="138" spans="2:6" ht="14.4">
      <c r="B138" s="89">
        <v>225</v>
      </c>
      <c r="D138" s="89" t="s">
        <v>378</v>
      </c>
      <c r="E138" s="130" t="s">
        <v>623</v>
      </c>
      <c r="F138" s="103"/>
    </row>
    <row r="139" spans="2:6" ht="14.4">
      <c r="B139" s="89">
        <v>226</v>
      </c>
      <c r="D139" s="89" t="s">
        <v>238</v>
      </c>
      <c r="E139" s="89" t="s">
        <v>624</v>
      </c>
      <c r="F139" s="103"/>
    </row>
    <row r="140" spans="2:6" ht="27">
      <c r="B140" s="89">
        <v>227</v>
      </c>
      <c r="D140" s="89" t="s">
        <v>379</v>
      </c>
      <c r="E140" s="130" t="s">
        <v>625</v>
      </c>
      <c r="F140" s="103"/>
    </row>
    <row r="141" spans="2:6" ht="27">
      <c r="B141" s="89">
        <v>228</v>
      </c>
      <c r="D141" s="89" t="s">
        <v>380</v>
      </c>
      <c r="E141" s="130" t="s">
        <v>626</v>
      </c>
      <c r="F141" s="103"/>
    </row>
    <row r="142" spans="2:6" ht="14.4">
      <c r="B142" s="89">
        <v>229</v>
      </c>
      <c r="D142" s="89" t="s">
        <v>239</v>
      </c>
      <c r="E142" s="130" t="s">
        <v>627</v>
      </c>
      <c r="F142" s="103"/>
    </row>
    <row r="143" spans="2:6" ht="27">
      <c r="B143" s="89">
        <v>230</v>
      </c>
      <c r="D143" s="89" t="s">
        <v>381</v>
      </c>
      <c r="E143" s="130" t="s">
        <v>628</v>
      </c>
      <c r="F143" s="103"/>
    </row>
    <row r="144" spans="2:6" ht="14.4">
      <c r="B144" s="89">
        <v>231</v>
      </c>
      <c r="D144" s="89" t="s">
        <v>382</v>
      </c>
      <c r="E144" s="130" t="s">
        <v>629</v>
      </c>
      <c r="F144" s="103"/>
    </row>
    <row r="145" spans="2:6" ht="14.4">
      <c r="B145" s="89">
        <v>232</v>
      </c>
      <c r="D145" s="89" t="s">
        <v>240</v>
      </c>
      <c r="E145" s="130" t="s">
        <v>630</v>
      </c>
      <c r="F145" s="103"/>
    </row>
    <row r="146" spans="2:6" ht="14.4">
      <c r="B146" s="89">
        <v>233</v>
      </c>
      <c r="D146" s="89" t="s">
        <v>241</v>
      </c>
      <c r="E146" s="130" t="s">
        <v>631</v>
      </c>
      <c r="F146" s="104"/>
    </row>
    <row r="147" spans="2:6" ht="14.4">
      <c r="B147" s="89">
        <v>234</v>
      </c>
      <c r="D147" s="89" t="s">
        <v>865</v>
      </c>
      <c r="E147" s="89" t="s">
        <v>632</v>
      </c>
      <c r="F147" s="103"/>
    </row>
    <row r="148" spans="2:6" ht="14.4">
      <c r="B148" s="89">
        <v>235</v>
      </c>
      <c r="D148" s="89" t="s">
        <v>866</v>
      </c>
      <c r="E148" s="89" t="s">
        <v>633</v>
      </c>
      <c r="F148" s="103"/>
    </row>
    <row r="149" spans="2:6" ht="14.4">
      <c r="B149" s="89">
        <v>236</v>
      </c>
      <c r="D149" s="89" t="s">
        <v>867</v>
      </c>
      <c r="E149" s="130" t="s">
        <v>868</v>
      </c>
      <c r="F149" s="103"/>
    </row>
    <row r="150" spans="2:6" ht="14.4">
      <c r="B150" s="89">
        <v>237</v>
      </c>
      <c r="D150" s="89" t="s">
        <v>242</v>
      </c>
      <c r="E150" s="130" t="s">
        <v>634</v>
      </c>
      <c r="F150" s="103"/>
    </row>
    <row r="151" spans="2:6" ht="25.8">
      <c r="B151" s="89">
        <v>238</v>
      </c>
      <c r="D151" s="89" t="s">
        <v>514</v>
      </c>
      <c r="F151" s="103"/>
    </row>
    <row r="152" spans="2:6" ht="14.4">
      <c r="B152" s="89">
        <v>239</v>
      </c>
      <c r="D152" s="89" t="s">
        <v>383</v>
      </c>
      <c r="E152" s="130" t="s">
        <v>635</v>
      </c>
      <c r="F152" s="103"/>
    </row>
    <row r="153" spans="2:6" ht="14.1">
      <c r="B153" s="89">
        <v>240</v>
      </c>
      <c r="D153" s="89" t="s">
        <v>243</v>
      </c>
      <c r="E153" s="130" t="s">
        <v>384</v>
      </c>
      <c r="F153" s="105"/>
    </row>
    <row r="154" spans="2:6" ht="14.4">
      <c r="B154" s="89">
        <v>241</v>
      </c>
      <c r="D154" s="89" t="s">
        <v>244</v>
      </c>
      <c r="E154" s="130" t="s">
        <v>331</v>
      </c>
      <c r="F154" s="103"/>
    </row>
    <row r="155" spans="2:6" ht="14.1">
      <c r="B155" s="89">
        <v>242</v>
      </c>
      <c r="D155" s="89" t="s">
        <v>167</v>
      </c>
      <c r="E155" s="130" t="s">
        <v>869</v>
      </c>
      <c r="F155" s="105"/>
    </row>
    <row r="156" spans="2:6" ht="14.4">
      <c r="B156" s="89">
        <v>243</v>
      </c>
      <c r="D156" s="89" t="s">
        <v>153</v>
      </c>
      <c r="E156" s="130" t="s">
        <v>636</v>
      </c>
      <c r="F156" s="103"/>
    </row>
    <row r="157" spans="2:6" ht="14.4">
      <c r="B157" s="89">
        <v>244</v>
      </c>
      <c r="D157" s="89" t="s">
        <v>385</v>
      </c>
      <c r="E157" s="130" t="s">
        <v>637</v>
      </c>
      <c r="F157" s="103"/>
    </row>
    <row r="158" spans="2:6" ht="14.4">
      <c r="B158" s="89">
        <v>245</v>
      </c>
      <c r="D158" s="89" t="s">
        <v>139</v>
      </c>
      <c r="E158" s="89" t="s">
        <v>139</v>
      </c>
      <c r="F158" s="103"/>
    </row>
    <row r="159" spans="2:6" ht="14.4">
      <c r="B159" s="89">
        <v>246</v>
      </c>
      <c r="D159" s="89" t="s">
        <v>140</v>
      </c>
      <c r="E159" s="89" t="s">
        <v>140</v>
      </c>
      <c r="F159" s="103"/>
    </row>
    <row r="160" spans="2:6" ht="14.4">
      <c r="B160" s="89">
        <v>247</v>
      </c>
      <c r="D160" s="89" t="s">
        <v>245</v>
      </c>
      <c r="E160" s="89" t="s">
        <v>182</v>
      </c>
      <c r="F160" s="103"/>
    </row>
    <row r="161" spans="2:6" ht="14.4">
      <c r="B161" s="89">
        <v>248</v>
      </c>
      <c r="D161" s="89" t="s">
        <v>183</v>
      </c>
      <c r="E161" s="89" t="s">
        <v>515</v>
      </c>
      <c r="F161" s="103"/>
    </row>
    <row r="162" spans="2:6" ht="14.4">
      <c r="B162" s="89">
        <v>249</v>
      </c>
      <c r="D162" s="89" t="s">
        <v>173</v>
      </c>
      <c r="E162" s="89" t="s">
        <v>638</v>
      </c>
      <c r="F162" s="103"/>
    </row>
    <row r="163" spans="2:6" ht="14.4">
      <c r="B163" s="89">
        <v>250</v>
      </c>
      <c r="D163" s="89" t="s">
        <v>176</v>
      </c>
      <c r="E163" s="130" t="s">
        <v>386</v>
      </c>
      <c r="F163" s="103"/>
    </row>
    <row r="164" spans="2:6" ht="14.4">
      <c r="B164" s="89">
        <v>251</v>
      </c>
      <c r="D164" s="89" t="s">
        <v>870</v>
      </c>
      <c r="E164" s="130" t="s">
        <v>387</v>
      </c>
      <c r="F164" s="103"/>
    </row>
    <row r="165" spans="2:6" ht="14.4">
      <c r="B165" s="89">
        <v>252</v>
      </c>
      <c r="D165" s="89" t="s">
        <v>310</v>
      </c>
      <c r="E165" s="130" t="s">
        <v>388</v>
      </c>
      <c r="F165" s="103"/>
    </row>
    <row r="166" spans="2:6" ht="14.4">
      <c r="B166" s="89">
        <v>253</v>
      </c>
      <c r="D166" s="89" t="s">
        <v>246</v>
      </c>
      <c r="E166" s="130" t="s">
        <v>639</v>
      </c>
      <c r="F166" s="103"/>
    </row>
    <row r="167" spans="2:6" ht="14.4">
      <c r="B167" s="89">
        <v>254</v>
      </c>
      <c r="D167" s="89" t="s">
        <v>311</v>
      </c>
      <c r="E167" s="130" t="s">
        <v>389</v>
      </c>
      <c r="F167" s="103"/>
    </row>
    <row r="168" spans="2:6" ht="14.4">
      <c r="B168" s="89">
        <v>255</v>
      </c>
      <c r="D168" s="89" t="s">
        <v>390</v>
      </c>
      <c r="E168" s="130" t="s">
        <v>640</v>
      </c>
      <c r="F168" s="103"/>
    </row>
    <row r="169" spans="2:6" ht="14.4">
      <c r="B169" s="89">
        <v>256</v>
      </c>
      <c r="D169" s="89" t="s">
        <v>247</v>
      </c>
      <c r="E169" s="130" t="s">
        <v>641</v>
      </c>
      <c r="F169" s="103"/>
    </row>
    <row r="170" spans="2:6" ht="14.4">
      <c r="B170" s="89">
        <v>257</v>
      </c>
      <c r="D170" s="89" t="s">
        <v>117</v>
      </c>
      <c r="E170" s="130" t="s">
        <v>391</v>
      </c>
      <c r="F170" s="103"/>
    </row>
    <row r="171" spans="2:6" ht="25.8">
      <c r="B171" s="89">
        <v>258</v>
      </c>
      <c r="D171" s="89" t="s">
        <v>392</v>
      </c>
      <c r="E171" s="89" t="s">
        <v>642</v>
      </c>
      <c r="F171" s="103"/>
    </row>
    <row r="172" spans="2:6" ht="27">
      <c r="B172" s="89">
        <v>259</v>
      </c>
      <c r="D172" s="89" t="s">
        <v>393</v>
      </c>
      <c r="E172" s="130" t="s">
        <v>643</v>
      </c>
      <c r="F172" s="103"/>
    </row>
    <row r="173" spans="2:6" ht="14.4">
      <c r="B173" s="89">
        <v>260</v>
      </c>
      <c r="D173" s="89" t="s">
        <v>116</v>
      </c>
      <c r="E173" s="130" t="s">
        <v>644</v>
      </c>
      <c r="F173" s="103"/>
    </row>
    <row r="174" spans="2:6" ht="14.4">
      <c r="B174" s="89">
        <v>261</v>
      </c>
      <c r="D174" s="89" t="s">
        <v>248</v>
      </c>
      <c r="E174" s="130" t="s">
        <v>645</v>
      </c>
      <c r="F174" s="103"/>
    </row>
    <row r="175" spans="2:6" ht="14.4">
      <c r="B175" s="89">
        <v>262</v>
      </c>
      <c r="D175" s="89" t="s">
        <v>249</v>
      </c>
      <c r="E175" s="130" t="s">
        <v>394</v>
      </c>
      <c r="F175" s="103"/>
    </row>
    <row r="176" spans="2:6" ht="40.5">
      <c r="B176" s="89">
        <v>263</v>
      </c>
      <c r="D176" s="89" t="s">
        <v>871</v>
      </c>
      <c r="E176" s="130" t="s">
        <v>523</v>
      </c>
      <c r="F176" s="103"/>
    </row>
    <row r="177" spans="2:6" ht="14.4">
      <c r="B177" s="89">
        <v>264</v>
      </c>
      <c r="D177" s="89" t="s">
        <v>250</v>
      </c>
      <c r="E177" s="130" t="s">
        <v>646</v>
      </c>
      <c r="F177" s="103"/>
    </row>
    <row r="178" spans="2:6" ht="14.4">
      <c r="B178" s="89">
        <v>265</v>
      </c>
      <c r="D178" s="89" t="s">
        <v>251</v>
      </c>
      <c r="E178" s="130" t="s">
        <v>647</v>
      </c>
      <c r="F178" s="103"/>
    </row>
    <row r="179" spans="2:6" ht="27">
      <c r="B179" s="89">
        <v>266</v>
      </c>
      <c r="D179" s="89" t="s">
        <v>395</v>
      </c>
      <c r="E179" s="130" t="s">
        <v>648</v>
      </c>
      <c r="F179" s="103"/>
    </row>
    <row r="180" spans="2:6" ht="14.4">
      <c r="B180" s="89">
        <v>267</v>
      </c>
      <c r="D180" s="89" t="s">
        <v>396</v>
      </c>
      <c r="E180" s="130" t="s">
        <v>397</v>
      </c>
      <c r="F180" s="103"/>
    </row>
    <row r="181" spans="2:6" ht="14.4">
      <c r="B181" s="89">
        <v>268</v>
      </c>
      <c r="D181" s="89" t="s">
        <v>872</v>
      </c>
      <c r="E181" s="130" t="s">
        <v>873</v>
      </c>
      <c r="F181" s="104"/>
    </row>
    <row r="182" spans="2:6" ht="14.4">
      <c r="B182" s="89">
        <v>269</v>
      </c>
      <c r="D182" s="89" t="s">
        <v>252</v>
      </c>
      <c r="E182" s="130" t="s">
        <v>649</v>
      </c>
      <c r="F182" s="103"/>
    </row>
    <row r="183" spans="2:6" ht="27">
      <c r="B183" s="89">
        <v>270</v>
      </c>
      <c r="D183" s="89" t="s">
        <v>253</v>
      </c>
      <c r="E183" s="130" t="s">
        <v>650</v>
      </c>
      <c r="F183" s="103"/>
    </row>
    <row r="184" spans="2:6" ht="14.4">
      <c r="B184" s="89">
        <v>271</v>
      </c>
      <c r="D184" s="89" t="s">
        <v>254</v>
      </c>
      <c r="E184" s="130" t="s">
        <v>651</v>
      </c>
      <c r="F184" s="103"/>
    </row>
    <row r="185" spans="2:6" ht="14.4">
      <c r="B185" s="89">
        <v>272</v>
      </c>
      <c r="D185" s="89" t="s">
        <v>255</v>
      </c>
      <c r="E185" s="130" t="s">
        <v>652</v>
      </c>
      <c r="F185" s="103"/>
    </row>
    <row r="186" spans="2:6" ht="14.4">
      <c r="B186" s="89">
        <v>273</v>
      </c>
      <c r="D186" s="89" t="s">
        <v>398</v>
      </c>
      <c r="E186" s="130" t="s">
        <v>399</v>
      </c>
      <c r="F186" s="104"/>
    </row>
    <row r="187" spans="2:6" ht="14.4">
      <c r="B187" s="89">
        <v>274</v>
      </c>
      <c r="D187" s="89" t="s">
        <v>874</v>
      </c>
      <c r="E187" s="130" t="s">
        <v>653</v>
      </c>
      <c r="F187" s="103"/>
    </row>
    <row r="188" spans="2:6" ht="14.4">
      <c r="B188" s="89">
        <v>275</v>
      </c>
      <c r="D188" s="89" t="s">
        <v>256</v>
      </c>
      <c r="E188" s="130" t="s">
        <v>654</v>
      </c>
      <c r="F188" s="103"/>
    </row>
    <row r="189" spans="2:6" ht="40.5">
      <c r="B189" s="89">
        <v>276</v>
      </c>
      <c r="D189" s="89" t="s">
        <v>655</v>
      </c>
      <c r="E189" s="130" t="s">
        <v>656</v>
      </c>
      <c r="F189" s="103"/>
    </row>
    <row r="190" spans="2:6" ht="14.4">
      <c r="B190" s="89">
        <v>277</v>
      </c>
      <c r="D190" s="89" t="s">
        <v>257</v>
      </c>
      <c r="E190" s="130" t="s">
        <v>657</v>
      </c>
      <c r="F190" s="103"/>
    </row>
    <row r="191" spans="2:6" ht="27">
      <c r="B191" s="89">
        <v>278</v>
      </c>
      <c r="D191" s="89" t="s">
        <v>258</v>
      </c>
      <c r="E191" s="130" t="s">
        <v>658</v>
      </c>
      <c r="F191" s="103"/>
    </row>
    <row r="192" spans="2:6" ht="14.4">
      <c r="B192" s="89">
        <v>279</v>
      </c>
      <c r="D192" s="89" t="s">
        <v>136</v>
      </c>
      <c r="E192" s="130" t="s">
        <v>400</v>
      </c>
      <c r="F192" s="103"/>
    </row>
    <row r="193" spans="2:6" ht="14.4">
      <c r="B193" s="89">
        <v>27901</v>
      </c>
      <c r="C193" s="89" t="s">
        <v>875</v>
      </c>
      <c r="D193" s="89" t="s">
        <v>876</v>
      </c>
      <c r="E193" s="130" t="s">
        <v>400</v>
      </c>
      <c r="F193" s="103"/>
    </row>
    <row r="194" spans="2:6" ht="14.4">
      <c r="B194" s="89">
        <v>280</v>
      </c>
      <c r="D194" s="89" t="s">
        <v>131</v>
      </c>
      <c r="E194" s="130" t="s">
        <v>659</v>
      </c>
      <c r="F194" s="103"/>
    </row>
    <row r="195" spans="2:6" ht="14.4">
      <c r="B195" s="89">
        <v>28001</v>
      </c>
      <c r="C195" s="89" t="s">
        <v>849</v>
      </c>
      <c r="D195" s="89" t="s">
        <v>877</v>
      </c>
      <c r="E195" s="130" t="s">
        <v>878</v>
      </c>
      <c r="F195" s="103"/>
    </row>
    <row r="196" spans="2:6" ht="14.4">
      <c r="B196" s="89">
        <v>281</v>
      </c>
      <c r="D196" s="89" t="s">
        <v>129</v>
      </c>
      <c r="E196" s="130" t="s">
        <v>660</v>
      </c>
      <c r="F196" s="103"/>
    </row>
    <row r="197" spans="2:6" ht="14.4">
      <c r="B197" s="89">
        <v>28101</v>
      </c>
      <c r="C197" s="89" t="s">
        <v>875</v>
      </c>
      <c r="D197" s="89" t="s">
        <v>879</v>
      </c>
      <c r="E197" s="130" t="s">
        <v>823</v>
      </c>
      <c r="F197" s="103"/>
    </row>
    <row r="198" spans="2:6" ht="14.4">
      <c r="B198" s="89">
        <v>282</v>
      </c>
      <c r="D198" s="89" t="s">
        <v>401</v>
      </c>
      <c r="E198" s="130" t="s">
        <v>661</v>
      </c>
      <c r="F198" s="103"/>
    </row>
    <row r="199" spans="2:6" ht="14.4">
      <c r="B199" s="89">
        <v>283</v>
      </c>
      <c r="D199" s="89" t="s">
        <v>259</v>
      </c>
      <c r="E199" s="130" t="s">
        <v>662</v>
      </c>
      <c r="F199" s="103"/>
    </row>
    <row r="200" spans="2:6" ht="14.4">
      <c r="B200" s="89">
        <v>284</v>
      </c>
      <c r="D200" s="89" t="s">
        <v>260</v>
      </c>
      <c r="E200" s="130" t="s">
        <v>663</v>
      </c>
      <c r="F200" s="103"/>
    </row>
    <row r="201" spans="2:6" ht="14.4">
      <c r="B201" s="89">
        <v>285</v>
      </c>
      <c r="D201" s="89" t="s">
        <v>261</v>
      </c>
      <c r="E201" s="130" t="s">
        <v>664</v>
      </c>
      <c r="F201" s="103"/>
    </row>
    <row r="202" spans="2:6" ht="14.4">
      <c r="B202" s="89">
        <v>286</v>
      </c>
      <c r="D202" s="89" t="s">
        <v>402</v>
      </c>
      <c r="E202" s="130" t="s">
        <v>665</v>
      </c>
      <c r="F202" s="103"/>
    </row>
    <row r="203" spans="2:6" ht="14.4">
      <c r="B203" s="89">
        <v>287</v>
      </c>
      <c r="D203" s="89" t="s">
        <v>403</v>
      </c>
      <c r="E203" s="130" t="s">
        <v>666</v>
      </c>
      <c r="F203" s="103"/>
    </row>
    <row r="204" spans="2:6" ht="14.4">
      <c r="B204" s="89">
        <v>288</v>
      </c>
      <c r="D204" s="89" t="s">
        <v>262</v>
      </c>
      <c r="E204" s="130" t="s">
        <v>404</v>
      </c>
      <c r="F204" s="103"/>
    </row>
    <row r="205" spans="2:6" ht="14.4">
      <c r="B205" s="89">
        <v>289</v>
      </c>
      <c r="D205" s="89" t="s">
        <v>151</v>
      </c>
      <c r="E205" s="130" t="s">
        <v>667</v>
      </c>
      <c r="F205" s="103"/>
    </row>
    <row r="206" spans="2:6" ht="14.4">
      <c r="B206" s="89">
        <v>290</v>
      </c>
      <c r="D206" s="89" t="s">
        <v>263</v>
      </c>
      <c r="E206" s="130" t="s">
        <v>405</v>
      </c>
      <c r="F206" s="103"/>
    </row>
    <row r="207" spans="2:6" ht="14.4">
      <c r="B207" s="89">
        <v>291</v>
      </c>
      <c r="D207" s="89" t="s">
        <v>152</v>
      </c>
      <c r="E207" s="130" t="s">
        <v>668</v>
      </c>
      <c r="F207" s="103"/>
    </row>
    <row r="208" spans="2:6" ht="14.4">
      <c r="B208" s="89">
        <v>292</v>
      </c>
      <c r="D208" s="89" t="s">
        <v>406</v>
      </c>
      <c r="E208" s="130" t="s">
        <v>407</v>
      </c>
      <c r="F208" s="103"/>
    </row>
    <row r="209" spans="2:6" ht="14.4">
      <c r="B209" s="89">
        <v>293</v>
      </c>
      <c r="D209" s="89" t="s">
        <v>335</v>
      </c>
      <c r="E209" s="130" t="s">
        <v>669</v>
      </c>
      <c r="F209" s="103"/>
    </row>
    <row r="210" spans="2:6" ht="14.4">
      <c r="B210" s="89">
        <v>294</v>
      </c>
      <c r="D210" s="89" t="s">
        <v>264</v>
      </c>
      <c r="E210" s="130" t="s">
        <v>332</v>
      </c>
      <c r="F210" s="103"/>
    </row>
    <row r="211" spans="2:6" ht="14.4">
      <c r="B211" s="89">
        <v>295</v>
      </c>
      <c r="D211" s="89" t="s">
        <v>160</v>
      </c>
      <c r="E211" s="130" t="s">
        <v>670</v>
      </c>
      <c r="F211" s="103"/>
    </row>
    <row r="212" spans="2:6" ht="14.4">
      <c r="B212" s="89">
        <v>296</v>
      </c>
      <c r="D212" s="89" t="s">
        <v>155</v>
      </c>
      <c r="E212" s="130" t="s">
        <v>408</v>
      </c>
      <c r="F212" s="103"/>
    </row>
    <row r="213" spans="2:6" ht="14.4">
      <c r="B213" s="89">
        <v>297</v>
      </c>
      <c r="D213" s="89" t="s">
        <v>409</v>
      </c>
      <c r="E213" s="130" t="s">
        <v>671</v>
      </c>
      <c r="F213" s="103"/>
    </row>
    <row r="214" spans="2:6" ht="14.4">
      <c r="B214" s="89">
        <v>298</v>
      </c>
      <c r="D214" s="89" t="s">
        <v>336</v>
      </c>
      <c r="E214" s="130" t="s">
        <v>672</v>
      </c>
      <c r="F214" s="103"/>
    </row>
    <row r="215" spans="2:6" ht="14.4">
      <c r="B215" s="89">
        <v>299</v>
      </c>
      <c r="D215" s="89" t="s">
        <v>880</v>
      </c>
      <c r="E215" s="89" t="s">
        <v>881</v>
      </c>
      <c r="F215" s="103"/>
    </row>
    <row r="216" spans="2:6" ht="14.4">
      <c r="B216" s="89">
        <v>300</v>
      </c>
      <c r="D216" s="89" t="s">
        <v>147</v>
      </c>
      <c r="E216" s="130" t="s">
        <v>410</v>
      </c>
      <c r="F216" s="103"/>
    </row>
    <row r="217" spans="2:6" ht="40.5">
      <c r="B217" s="89">
        <v>301</v>
      </c>
      <c r="D217" s="89" t="s">
        <v>411</v>
      </c>
      <c r="E217" s="130" t="s">
        <v>673</v>
      </c>
      <c r="F217" s="103"/>
    </row>
    <row r="218" spans="2:6" ht="14.4">
      <c r="B218" s="89">
        <v>302</v>
      </c>
      <c r="D218" s="89" t="s">
        <v>154</v>
      </c>
      <c r="E218" s="130" t="s">
        <v>674</v>
      </c>
      <c r="F218" s="103"/>
    </row>
    <row r="219" spans="2:6" ht="27">
      <c r="B219" s="89">
        <v>303</v>
      </c>
      <c r="D219" s="89" t="s">
        <v>265</v>
      </c>
      <c r="E219" s="130" t="s">
        <v>675</v>
      </c>
      <c r="F219" s="103"/>
    </row>
    <row r="220" spans="2:6" ht="14.4">
      <c r="B220" s="89">
        <v>304</v>
      </c>
      <c r="D220" s="89" t="s">
        <v>120</v>
      </c>
      <c r="E220" s="130" t="s">
        <v>412</v>
      </c>
      <c r="F220" s="104"/>
    </row>
    <row r="221" spans="2:6" ht="14.4">
      <c r="B221" s="89">
        <v>305</v>
      </c>
      <c r="D221" s="89" t="s">
        <v>266</v>
      </c>
      <c r="E221" s="130" t="s">
        <v>676</v>
      </c>
      <c r="F221" s="103"/>
    </row>
    <row r="222" spans="2:6" ht="14.4">
      <c r="B222" s="89">
        <v>306</v>
      </c>
      <c r="D222" s="89" t="s">
        <v>174</v>
      </c>
      <c r="E222" s="130" t="s">
        <v>413</v>
      </c>
      <c r="F222" s="103"/>
    </row>
    <row r="223" spans="2:6" ht="14.4">
      <c r="B223" s="89">
        <v>307</v>
      </c>
      <c r="D223" s="89" t="s">
        <v>159</v>
      </c>
      <c r="E223" s="130" t="s">
        <v>414</v>
      </c>
      <c r="F223" s="103"/>
    </row>
    <row r="224" spans="2:6" ht="14.4">
      <c r="B224" s="89">
        <v>308</v>
      </c>
      <c r="D224" s="89" t="s">
        <v>166</v>
      </c>
      <c r="E224" s="130" t="s">
        <v>882</v>
      </c>
      <c r="F224" s="103"/>
    </row>
    <row r="225" spans="2:6" ht="14.4">
      <c r="B225" s="89">
        <v>309</v>
      </c>
      <c r="D225" s="89" t="s">
        <v>267</v>
      </c>
      <c r="E225" s="130" t="s">
        <v>677</v>
      </c>
      <c r="F225" s="103"/>
    </row>
    <row r="226" spans="2:6" ht="14.4">
      <c r="B226" s="89">
        <v>310</v>
      </c>
      <c r="D226" s="89" t="s">
        <v>268</v>
      </c>
      <c r="E226" s="130" t="s">
        <v>678</v>
      </c>
      <c r="F226" s="103"/>
    </row>
    <row r="227" spans="2:6" ht="14.4">
      <c r="B227" s="89">
        <v>311</v>
      </c>
      <c r="D227" s="89" t="s">
        <v>415</v>
      </c>
      <c r="E227" s="130" t="s">
        <v>679</v>
      </c>
      <c r="F227" s="103"/>
    </row>
    <row r="228" spans="2:6" ht="14.4">
      <c r="B228" s="89">
        <v>312</v>
      </c>
      <c r="D228" s="89" t="s">
        <v>416</v>
      </c>
      <c r="F228" s="103"/>
    </row>
    <row r="229" spans="2:6" ht="14.1">
      <c r="B229" s="89">
        <v>313</v>
      </c>
      <c r="D229" s="89" t="s">
        <v>883</v>
      </c>
      <c r="E229" s="130" t="s">
        <v>680</v>
      </c>
      <c r="F229" s="105"/>
    </row>
    <row r="230" spans="2:6" ht="14.4">
      <c r="B230" s="89">
        <v>314</v>
      </c>
      <c r="D230" s="89" t="s">
        <v>884</v>
      </c>
      <c r="E230" s="130" t="s">
        <v>681</v>
      </c>
      <c r="F230" s="103"/>
    </row>
    <row r="231" spans="2:6" ht="14.4">
      <c r="B231" s="89">
        <v>315</v>
      </c>
      <c r="D231" s="89" t="s">
        <v>885</v>
      </c>
      <c r="E231" s="130" t="s">
        <v>682</v>
      </c>
      <c r="F231" s="103"/>
    </row>
    <row r="232" spans="2:6" ht="27">
      <c r="B232" s="89">
        <v>316</v>
      </c>
      <c r="D232" s="89" t="s">
        <v>683</v>
      </c>
      <c r="E232" s="130" t="s">
        <v>684</v>
      </c>
      <c r="F232" s="103"/>
    </row>
    <row r="233" spans="2:6" ht="159" customHeight="1">
      <c r="B233" s="89">
        <v>317</v>
      </c>
      <c r="D233" s="89" t="s">
        <v>269</v>
      </c>
      <c r="E233" s="130" t="s">
        <v>685</v>
      </c>
      <c r="F233" s="103"/>
    </row>
    <row r="234" spans="2:6" ht="14.4">
      <c r="B234" s="89">
        <v>318</v>
      </c>
      <c r="D234" s="89" t="s">
        <v>270</v>
      </c>
      <c r="E234" s="130" t="s">
        <v>686</v>
      </c>
      <c r="F234" s="103"/>
    </row>
    <row r="235" spans="2:6" ht="14.4">
      <c r="B235" s="89">
        <v>319</v>
      </c>
      <c r="D235" s="89" t="s">
        <v>886</v>
      </c>
      <c r="E235" s="130" t="s">
        <v>887</v>
      </c>
      <c r="F235" s="103"/>
    </row>
    <row r="236" spans="2:6" ht="14.4">
      <c r="B236" s="89">
        <v>320</v>
      </c>
      <c r="D236" s="89" t="s">
        <v>146</v>
      </c>
      <c r="E236" s="130" t="s">
        <v>417</v>
      </c>
      <c r="F236" s="103"/>
    </row>
    <row r="237" spans="2:6" ht="14.4">
      <c r="B237" s="89">
        <v>321</v>
      </c>
      <c r="D237" s="89" t="s">
        <v>271</v>
      </c>
      <c r="E237" s="130" t="s">
        <v>418</v>
      </c>
      <c r="F237" s="103"/>
    </row>
    <row r="238" spans="2:6" ht="14.4">
      <c r="B238" s="89">
        <v>322</v>
      </c>
      <c r="D238" s="89" t="s">
        <v>272</v>
      </c>
      <c r="E238" s="130" t="s">
        <v>687</v>
      </c>
      <c r="F238" s="103"/>
    </row>
    <row r="239" spans="2:6" ht="14.4">
      <c r="B239" s="89">
        <v>323</v>
      </c>
      <c r="D239" s="89" t="s">
        <v>273</v>
      </c>
      <c r="E239" s="130" t="s">
        <v>688</v>
      </c>
      <c r="F239" s="103"/>
    </row>
    <row r="240" spans="2:6" ht="14.4">
      <c r="B240" s="89">
        <v>324</v>
      </c>
      <c r="D240" s="89" t="s">
        <v>274</v>
      </c>
      <c r="E240" s="130" t="s">
        <v>419</v>
      </c>
      <c r="F240" s="103"/>
    </row>
    <row r="241" spans="2:6" ht="14.4">
      <c r="B241" s="89">
        <v>325</v>
      </c>
      <c r="D241" s="89" t="s">
        <v>420</v>
      </c>
      <c r="E241" s="130" t="s">
        <v>689</v>
      </c>
      <c r="F241" s="103"/>
    </row>
    <row r="242" spans="2:6" ht="14.4">
      <c r="B242" s="89">
        <v>326</v>
      </c>
      <c r="D242" s="89" t="s">
        <v>126</v>
      </c>
      <c r="E242" s="130" t="s">
        <v>421</v>
      </c>
      <c r="F242" s="103"/>
    </row>
    <row r="243" spans="2:6" ht="14.4">
      <c r="B243" s="89">
        <v>327</v>
      </c>
      <c r="D243" s="89" t="s">
        <v>156</v>
      </c>
      <c r="E243" s="130" t="s">
        <v>422</v>
      </c>
      <c r="F243" s="103"/>
    </row>
    <row r="244" spans="2:6" ht="14.4">
      <c r="B244" s="89">
        <v>328</v>
      </c>
      <c r="D244" s="89" t="s">
        <v>423</v>
      </c>
      <c r="E244" s="130" t="s">
        <v>690</v>
      </c>
      <c r="F244" s="103"/>
    </row>
    <row r="245" spans="2:6" ht="14.4">
      <c r="B245" s="89">
        <v>329</v>
      </c>
      <c r="D245" s="89" t="s">
        <v>275</v>
      </c>
      <c r="E245" s="130" t="s">
        <v>691</v>
      </c>
      <c r="F245" s="103"/>
    </row>
    <row r="246" spans="2:6" ht="27">
      <c r="B246" s="89">
        <v>330</v>
      </c>
      <c r="D246" s="89" t="s">
        <v>424</v>
      </c>
      <c r="E246" s="130" t="s">
        <v>692</v>
      </c>
      <c r="F246" s="103"/>
    </row>
    <row r="247" spans="2:6" ht="14.4">
      <c r="B247" s="89">
        <v>331</v>
      </c>
      <c r="D247" s="89" t="s">
        <v>276</v>
      </c>
      <c r="E247" s="130" t="s">
        <v>693</v>
      </c>
      <c r="F247" s="103"/>
    </row>
    <row r="248" spans="2:6" ht="14.4">
      <c r="B248" s="89">
        <v>332</v>
      </c>
      <c r="D248" s="89" t="s">
        <v>175</v>
      </c>
      <c r="E248" s="130" t="s">
        <v>425</v>
      </c>
      <c r="F248" s="103"/>
    </row>
    <row r="249" spans="2:6" ht="14.4">
      <c r="B249" s="89">
        <v>333</v>
      </c>
      <c r="D249" s="89" t="s">
        <v>114</v>
      </c>
      <c r="E249" s="130" t="s">
        <v>426</v>
      </c>
      <c r="F249" s="103"/>
    </row>
    <row r="250" spans="2:6" ht="14.4">
      <c r="B250" s="89">
        <v>334</v>
      </c>
      <c r="D250" s="89" t="s">
        <v>427</v>
      </c>
      <c r="E250" s="130" t="s">
        <v>694</v>
      </c>
      <c r="F250" s="103"/>
    </row>
    <row r="251" spans="2:6" ht="14.4">
      <c r="B251" s="89">
        <v>335</v>
      </c>
      <c r="D251" s="89" t="s">
        <v>277</v>
      </c>
      <c r="E251" s="130" t="s">
        <v>428</v>
      </c>
      <c r="F251" s="103"/>
    </row>
    <row r="252" spans="2:6" ht="14.4">
      <c r="B252" s="89">
        <v>336</v>
      </c>
      <c r="D252" s="89" t="s">
        <v>163</v>
      </c>
      <c r="E252" s="130" t="s">
        <v>695</v>
      </c>
      <c r="F252" s="103"/>
    </row>
    <row r="253" spans="2:6" ht="54">
      <c r="B253" s="89">
        <v>337</v>
      </c>
      <c r="D253" s="89" t="s">
        <v>278</v>
      </c>
      <c r="E253" s="130" t="s">
        <v>696</v>
      </c>
      <c r="F253" s="103"/>
    </row>
    <row r="254" spans="2:6" ht="14.4">
      <c r="B254" s="89">
        <v>338</v>
      </c>
      <c r="D254" s="89" t="s">
        <v>279</v>
      </c>
      <c r="E254" s="89" t="s">
        <v>697</v>
      </c>
      <c r="F254" s="103"/>
    </row>
    <row r="255" spans="2:6" ht="25.8">
      <c r="B255" s="89">
        <v>339</v>
      </c>
      <c r="D255" s="89" t="s">
        <v>429</v>
      </c>
      <c r="E255" s="130" t="s">
        <v>698</v>
      </c>
      <c r="F255" s="103"/>
    </row>
    <row r="256" spans="2:6" ht="14.4">
      <c r="B256" s="89">
        <v>340</v>
      </c>
      <c r="D256" s="89" t="s">
        <v>430</v>
      </c>
      <c r="E256" s="89" t="s">
        <v>699</v>
      </c>
      <c r="F256" s="103"/>
    </row>
    <row r="257" spans="2:8" ht="14.4">
      <c r="B257" s="89">
        <v>341</v>
      </c>
      <c r="D257" s="89" t="s">
        <v>431</v>
      </c>
      <c r="E257" s="89" t="s">
        <v>700</v>
      </c>
      <c r="F257" s="103"/>
    </row>
    <row r="258" spans="2:8" ht="25.8">
      <c r="B258" s="89">
        <v>342</v>
      </c>
      <c r="D258" s="89" t="s">
        <v>432</v>
      </c>
      <c r="E258" s="130" t="s">
        <v>701</v>
      </c>
      <c r="F258" s="103"/>
    </row>
    <row r="259" spans="2:8" ht="25.8">
      <c r="B259" s="89">
        <v>343</v>
      </c>
      <c r="D259" s="89" t="s">
        <v>433</v>
      </c>
      <c r="E259" s="130" t="s">
        <v>702</v>
      </c>
      <c r="F259" s="103"/>
    </row>
    <row r="260" spans="2:8" ht="25.8">
      <c r="B260" s="89">
        <v>344</v>
      </c>
      <c r="D260" s="89" t="s">
        <v>434</v>
      </c>
      <c r="E260" s="130" t="s">
        <v>703</v>
      </c>
      <c r="F260" s="103"/>
    </row>
    <row r="261" spans="2:8" ht="25.8">
      <c r="B261" s="89">
        <v>345</v>
      </c>
      <c r="D261" s="89" t="s">
        <v>435</v>
      </c>
      <c r="E261" s="130" t="s">
        <v>704</v>
      </c>
      <c r="F261" s="103"/>
    </row>
    <row r="262" spans="2:8" ht="25.8">
      <c r="B262" s="89">
        <v>346</v>
      </c>
      <c r="D262" s="89" t="s">
        <v>436</v>
      </c>
      <c r="E262" s="89" t="s">
        <v>705</v>
      </c>
      <c r="F262" s="103"/>
    </row>
    <row r="263" spans="2:8" ht="25.8">
      <c r="B263" s="89">
        <v>347</v>
      </c>
      <c r="D263" s="89" t="s">
        <v>437</v>
      </c>
      <c r="E263" s="130" t="s">
        <v>706</v>
      </c>
      <c r="F263" s="103"/>
    </row>
    <row r="264" spans="2:8" ht="25.8">
      <c r="B264" s="89">
        <v>348</v>
      </c>
      <c r="D264" s="89" t="s">
        <v>438</v>
      </c>
      <c r="E264" s="130" t="s">
        <v>707</v>
      </c>
      <c r="F264" s="103"/>
    </row>
    <row r="265" spans="2:8" ht="25.8">
      <c r="B265" s="89">
        <v>349</v>
      </c>
      <c r="D265" s="89" t="s">
        <v>439</v>
      </c>
      <c r="E265" s="130" t="s">
        <v>708</v>
      </c>
      <c r="F265" s="103"/>
    </row>
    <row r="266" spans="2:8" ht="25.8">
      <c r="B266" s="89">
        <v>350</v>
      </c>
      <c r="D266" s="89" t="s">
        <v>440</v>
      </c>
      <c r="E266" s="130" t="s">
        <v>709</v>
      </c>
      <c r="F266" s="103"/>
    </row>
    <row r="267" spans="2:8" ht="25.8">
      <c r="B267" s="89">
        <v>351</v>
      </c>
      <c r="D267" s="89" t="s">
        <v>441</v>
      </c>
      <c r="E267" s="130" t="s">
        <v>710</v>
      </c>
      <c r="F267" s="103"/>
    </row>
    <row r="268" spans="2:8" ht="25.8">
      <c r="B268" s="89">
        <v>352</v>
      </c>
      <c r="D268" s="89" t="s">
        <v>442</v>
      </c>
      <c r="E268" s="130" t="s">
        <v>711</v>
      </c>
      <c r="F268" s="103"/>
      <c r="G268" s="91"/>
      <c r="H268" s="91"/>
    </row>
    <row r="269" spans="2:8" ht="25.8">
      <c r="B269" s="89">
        <v>353</v>
      </c>
      <c r="D269" s="89" t="s">
        <v>443</v>
      </c>
      <c r="E269" s="130" t="s">
        <v>712</v>
      </c>
      <c r="F269" s="103"/>
    </row>
    <row r="270" spans="2:8" ht="25.8">
      <c r="B270" s="89">
        <v>354</v>
      </c>
      <c r="D270" s="89" t="s">
        <v>444</v>
      </c>
      <c r="E270" s="130" t="s">
        <v>713</v>
      </c>
      <c r="F270" s="103"/>
    </row>
    <row r="271" spans="2:8" ht="25.8">
      <c r="B271" s="89">
        <v>355</v>
      </c>
      <c r="D271" s="89" t="s">
        <v>445</v>
      </c>
      <c r="E271" s="130" t="s">
        <v>714</v>
      </c>
      <c r="F271" s="103"/>
    </row>
    <row r="272" spans="2:8" ht="25.8">
      <c r="B272" s="89">
        <v>356</v>
      </c>
      <c r="D272" s="89" t="s">
        <v>446</v>
      </c>
      <c r="E272" s="130" t="s">
        <v>715</v>
      </c>
      <c r="F272" s="103"/>
    </row>
    <row r="273" spans="2:6" ht="25.8">
      <c r="B273" s="89">
        <v>357</v>
      </c>
      <c r="D273" s="89" t="s">
        <v>447</v>
      </c>
      <c r="E273" s="130" t="s">
        <v>716</v>
      </c>
      <c r="F273" s="103"/>
    </row>
    <row r="274" spans="2:6" ht="25.8">
      <c r="B274" s="89">
        <v>358</v>
      </c>
      <c r="D274" s="89" t="s">
        <v>448</v>
      </c>
      <c r="E274" s="89" t="s">
        <v>717</v>
      </c>
      <c r="F274" s="103"/>
    </row>
    <row r="275" spans="2:6" ht="25.8">
      <c r="B275" s="89">
        <v>359</v>
      </c>
      <c r="D275" s="89" t="s">
        <v>449</v>
      </c>
      <c r="E275" s="89" t="s">
        <v>718</v>
      </c>
      <c r="F275" s="103"/>
    </row>
    <row r="276" spans="2:6" ht="25.8">
      <c r="B276" s="89">
        <v>360</v>
      </c>
      <c r="D276" s="89" t="s">
        <v>450</v>
      </c>
      <c r="E276" s="130" t="s">
        <v>719</v>
      </c>
      <c r="F276" s="103"/>
    </row>
    <row r="277" spans="2:6" ht="27">
      <c r="B277" s="89">
        <v>361</v>
      </c>
      <c r="D277" s="89" t="s">
        <v>888</v>
      </c>
      <c r="E277" s="89" t="s">
        <v>720</v>
      </c>
      <c r="F277" s="103"/>
    </row>
    <row r="278" spans="2:6" ht="27">
      <c r="B278" s="89">
        <v>362</v>
      </c>
      <c r="D278" s="89" t="s">
        <v>888</v>
      </c>
      <c r="E278" s="89" t="s">
        <v>720</v>
      </c>
      <c r="F278" s="103"/>
    </row>
    <row r="279" spans="2:6" ht="27">
      <c r="B279" s="89">
        <v>363</v>
      </c>
      <c r="D279" s="89" t="s">
        <v>451</v>
      </c>
      <c r="E279" s="89" t="s">
        <v>721</v>
      </c>
      <c r="F279" s="103"/>
    </row>
    <row r="280" spans="2:6" ht="27">
      <c r="B280" s="89">
        <v>364</v>
      </c>
      <c r="D280" s="89" t="s">
        <v>452</v>
      </c>
      <c r="E280" s="89" t="s">
        <v>722</v>
      </c>
      <c r="F280" s="103"/>
    </row>
    <row r="281" spans="2:6" ht="27">
      <c r="B281" s="89">
        <v>365</v>
      </c>
      <c r="D281" s="89" t="s">
        <v>453</v>
      </c>
      <c r="E281" s="89" t="s">
        <v>723</v>
      </c>
      <c r="F281" s="103"/>
    </row>
    <row r="282" spans="2:6" ht="25.8">
      <c r="B282" s="89">
        <v>366</v>
      </c>
      <c r="D282" s="89" t="s">
        <v>454</v>
      </c>
      <c r="E282" s="89" t="s">
        <v>724</v>
      </c>
      <c r="F282" s="103"/>
    </row>
    <row r="283" spans="2:6" ht="14.4">
      <c r="B283" s="89">
        <v>367</v>
      </c>
      <c r="D283" s="89" t="s">
        <v>280</v>
      </c>
      <c r="E283" s="89" t="s">
        <v>725</v>
      </c>
      <c r="F283" s="103"/>
    </row>
    <row r="284" spans="2:6" ht="27">
      <c r="B284" s="89">
        <v>368</v>
      </c>
      <c r="D284" s="89" t="s">
        <v>455</v>
      </c>
      <c r="E284" s="89" t="s">
        <v>726</v>
      </c>
      <c r="F284" s="103"/>
    </row>
    <row r="285" spans="2:6" ht="14.4">
      <c r="B285" s="89">
        <v>369</v>
      </c>
      <c r="D285" s="89" t="s">
        <v>316</v>
      </c>
      <c r="E285" s="130" t="s">
        <v>727</v>
      </c>
      <c r="F285" s="103"/>
    </row>
    <row r="286" spans="2:6" ht="54">
      <c r="B286" s="89">
        <v>370</v>
      </c>
      <c r="D286" s="89" t="s">
        <v>456</v>
      </c>
      <c r="E286" s="130" t="s">
        <v>728</v>
      </c>
      <c r="F286" s="103"/>
    </row>
    <row r="287" spans="2:6" ht="27">
      <c r="B287" s="89">
        <v>371</v>
      </c>
      <c r="D287" s="89" t="s">
        <v>281</v>
      </c>
      <c r="E287" s="89" t="s">
        <v>729</v>
      </c>
      <c r="F287" s="103"/>
    </row>
    <row r="288" spans="2:6" ht="27">
      <c r="B288" s="89">
        <v>372</v>
      </c>
      <c r="D288" s="89" t="s">
        <v>457</v>
      </c>
      <c r="E288" s="89" t="s">
        <v>730</v>
      </c>
      <c r="F288" s="103"/>
    </row>
    <row r="289" spans="2:6" ht="27">
      <c r="B289" s="89">
        <v>373</v>
      </c>
      <c r="D289" s="89" t="s">
        <v>458</v>
      </c>
      <c r="E289" s="89" t="s">
        <v>731</v>
      </c>
      <c r="F289" s="103"/>
    </row>
    <row r="290" spans="2:6" ht="27">
      <c r="B290" s="89">
        <v>374</v>
      </c>
      <c r="D290" s="89" t="s">
        <v>459</v>
      </c>
      <c r="E290" s="130" t="s">
        <v>732</v>
      </c>
      <c r="F290" s="103"/>
    </row>
    <row r="291" spans="2:6" ht="27">
      <c r="B291" s="89">
        <v>375</v>
      </c>
      <c r="D291" s="89" t="s">
        <v>282</v>
      </c>
      <c r="E291" s="130" t="s">
        <v>733</v>
      </c>
      <c r="F291" s="103"/>
    </row>
    <row r="292" spans="2:6" ht="14.4">
      <c r="B292" s="89">
        <v>376</v>
      </c>
      <c r="D292" s="89" t="s">
        <v>283</v>
      </c>
      <c r="E292" s="130" t="s">
        <v>734</v>
      </c>
      <c r="F292" s="103"/>
    </row>
    <row r="293" spans="2:6" ht="14.1">
      <c r="B293" s="89">
        <v>377</v>
      </c>
      <c r="D293" s="89" t="s">
        <v>317</v>
      </c>
      <c r="E293" s="130" t="s">
        <v>735</v>
      </c>
      <c r="F293" s="101"/>
    </row>
    <row r="294" spans="2:6" ht="14.4">
      <c r="B294" s="89">
        <v>378</v>
      </c>
      <c r="D294" s="89" t="s">
        <v>460</v>
      </c>
      <c r="E294" s="130" t="s">
        <v>736</v>
      </c>
      <c r="F294" s="103"/>
    </row>
    <row r="295" spans="2:6" ht="14.4">
      <c r="B295" s="89">
        <v>379</v>
      </c>
      <c r="D295" s="89" t="s">
        <v>284</v>
      </c>
      <c r="E295" s="130" t="s">
        <v>737</v>
      </c>
      <c r="F295" s="103"/>
    </row>
    <row r="296" spans="2:6" ht="14.4">
      <c r="B296" s="89">
        <v>380</v>
      </c>
      <c r="D296" s="89" t="s">
        <v>285</v>
      </c>
      <c r="E296" s="130" t="s">
        <v>738</v>
      </c>
      <c r="F296" s="103"/>
    </row>
    <row r="297" spans="2:6" ht="14.4">
      <c r="B297" s="89">
        <v>381</v>
      </c>
      <c r="D297" s="89" t="s">
        <v>286</v>
      </c>
      <c r="E297" s="130" t="s">
        <v>739</v>
      </c>
      <c r="F297" s="103"/>
    </row>
    <row r="298" spans="2:6" ht="26.4">
      <c r="B298" s="89">
        <v>382</v>
      </c>
      <c r="D298" s="89" t="s">
        <v>461</v>
      </c>
      <c r="E298" s="130" t="s">
        <v>740</v>
      </c>
      <c r="F298" s="103"/>
    </row>
    <row r="299" spans="2:6" ht="40.5">
      <c r="B299" s="89">
        <v>383</v>
      </c>
      <c r="D299" s="89" t="s">
        <v>889</v>
      </c>
      <c r="E299" s="89" t="s">
        <v>890</v>
      </c>
      <c r="F299" s="103"/>
    </row>
    <row r="300" spans="2:6" ht="54">
      <c r="B300" s="89">
        <v>384</v>
      </c>
      <c r="D300" s="89" t="s">
        <v>462</v>
      </c>
      <c r="E300" s="130" t="s">
        <v>741</v>
      </c>
      <c r="F300" s="103"/>
    </row>
    <row r="301" spans="2:6" ht="14.4">
      <c r="B301" s="89">
        <v>385</v>
      </c>
      <c r="D301" s="89" t="s">
        <v>172</v>
      </c>
      <c r="E301" s="130" t="s">
        <v>742</v>
      </c>
      <c r="F301" s="103"/>
    </row>
    <row r="302" spans="2:6" ht="27">
      <c r="B302" s="89">
        <v>386</v>
      </c>
      <c r="D302" s="89" t="s">
        <v>463</v>
      </c>
      <c r="E302" s="89" t="s">
        <v>743</v>
      </c>
      <c r="F302" s="103"/>
    </row>
    <row r="303" spans="2:6" ht="14.4">
      <c r="B303" s="89">
        <v>387</v>
      </c>
      <c r="D303" s="89" t="s">
        <v>287</v>
      </c>
      <c r="E303" s="89" t="s">
        <v>744</v>
      </c>
      <c r="F303" s="103"/>
    </row>
    <row r="304" spans="2:6" ht="14.4">
      <c r="B304" s="89">
        <v>388</v>
      </c>
      <c r="D304" s="89" t="s">
        <v>288</v>
      </c>
      <c r="E304" s="89" t="s">
        <v>745</v>
      </c>
      <c r="F304" s="103"/>
    </row>
    <row r="305" spans="2:6" ht="25.8">
      <c r="B305" s="89">
        <v>389</v>
      </c>
      <c r="D305" s="89" t="s">
        <v>464</v>
      </c>
      <c r="E305" s="89" t="s">
        <v>746</v>
      </c>
      <c r="F305" s="103"/>
    </row>
    <row r="306" spans="2:6" ht="14.4">
      <c r="B306" s="89">
        <v>390</v>
      </c>
      <c r="D306" s="89" t="s">
        <v>465</v>
      </c>
      <c r="E306" s="89" t="s">
        <v>747</v>
      </c>
      <c r="F306" s="103"/>
    </row>
    <row r="307" spans="2:6" ht="14.4">
      <c r="B307" s="89">
        <v>391</v>
      </c>
      <c r="D307" s="89" t="s">
        <v>124</v>
      </c>
      <c r="E307" s="130" t="s">
        <v>748</v>
      </c>
      <c r="F307" s="103"/>
    </row>
    <row r="308" spans="2:6" ht="14.4">
      <c r="B308" s="89">
        <v>392</v>
      </c>
      <c r="D308" s="89" t="s">
        <v>125</v>
      </c>
      <c r="E308" s="130" t="s">
        <v>749</v>
      </c>
      <c r="F308" s="103"/>
    </row>
    <row r="309" spans="2:6" ht="27">
      <c r="B309" s="89">
        <v>393</v>
      </c>
      <c r="D309" s="89" t="s">
        <v>289</v>
      </c>
      <c r="E309" s="89" t="s">
        <v>750</v>
      </c>
      <c r="F309" s="103"/>
    </row>
    <row r="310" spans="2:6" ht="27">
      <c r="B310" s="89">
        <v>394</v>
      </c>
      <c r="D310" s="89" t="s">
        <v>466</v>
      </c>
      <c r="E310" s="89" t="s">
        <v>751</v>
      </c>
      <c r="F310" s="103"/>
    </row>
    <row r="311" spans="2:6" ht="14.4">
      <c r="B311" s="89">
        <v>395</v>
      </c>
      <c r="D311" s="89" t="s">
        <v>467</v>
      </c>
      <c r="E311" s="89" t="s">
        <v>752</v>
      </c>
      <c r="F311" s="103"/>
    </row>
    <row r="312" spans="2:6" ht="14.4">
      <c r="B312" s="89">
        <v>396</v>
      </c>
      <c r="D312" s="89" t="s">
        <v>468</v>
      </c>
      <c r="E312" s="89" t="s">
        <v>753</v>
      </c>
      <c r="F312" s="103"/>
    </row>
    <row r="313" spans="2:6" ht="27">
      <c r="B313" s="89">
        <v>397</v>
      </c>
      <c r="D313" s="89" t="s">
        <v>469</v>
      </c>
      <c r="E313" s="89" t="s">
        <v>754</v>
      </c>
      <c r="F313" s="103"/>
    </row>
    <row r="314" spans="2:6" ht="14.4">
      <c r="B314" s="89">
        <v>398</v>
      </c>
      <c r="D314" s="89" t="s">
        <v>290</v>
      </c>
      <c r="E314" s="89" t="s">
        <v>755</v>
      </c>
      <c r="F314" s="103"/>
    </row>
    <row r="315" spans="2:6" ht="14.4">
      <c r="B315" s="89">
        <v>399</v>
      </c>
      <c r="D315" s="89" t="s">
        <v>291</v>
      </c>
      <c r="E315" s="89" t="s">
        <v>756</v>
      </c>
      <c r="F315" s="103"/>
    </row>
    <row r="316" spans="2:6" ht="14.4">
      <c r="B316" s="89">
        <v>400</v>
      </c>
      <c r="D316" s="89" t="s">
        <v>470</v>
      </c>
      <c r="E316" s="89" t="s">
        <v>757</v>
      </c>
      <c r="F316" s="103"/>
    </row>
    <row r="317" spans="2:6" ht="14.4">
      <c r="B317" s="89">
        <v>401</v>
      </c>
      <c r="D317" s="89" t="s">
        <v>471</v>
      </c>
      <c r="E317" s="130" t="s">
        <v>758</v>
      </c>
      <c r="F317" s="103"/>
    </row>
    <row r="318" spans="2:6" ht="14.4">
      <c r="B318" s="89">
        <v>402</v>
      </c>
      <c r="D318" s="89" t="s">
        <v>292</v>
      </c>
      <c r="E318" s="130" t="s">
        <v>759</v>
      </c>
      <c r="F318" s="103"/>
    </row>
    <row r="319" spans="2:6" ht="14.4">
      <c r="B319" s="89">
        <v>403</v>
      </c>
      <c r="D319" s="89" t="s">
        <v>123</v>
      </c>
      <c r="E319" s="130" t="s">
        <v>760</v>
      </c>
      <c r="F319" s="103"/>
    </row>
    <row r="320" spans="2:6" ht="14.4">
      <c r="B320" s="89">
        <v>404</v>
      </c>
      <c r="D320" s="89" t="s">
        <v>472</v>
      </c>
      <c r="E320" s="130" t="s">
        <v>761</v>
      </c>
      <c r="F320" s="103"/>
    </row>
    <row r="321" spans="2:6" ht="14.4">
      <c r="B321" s="89">
        <v>405</v>
      </c>
      <c r="D321" s="89" t="s">
        <v>473</v>
      </c>
      <c r="E321" s="130" t="s">
        <v>762</v>
      </c>
      <c r="F321" s="103"/>
    </row>
    <row r="322" spans="2:6" ht="14.4">
      <c r="B322" s="89">
        <v>406</v>
      </c>
      <c r="D322" s="89" t="s">
        <v>309</v>
      </c>
      <c r="E322" s="130" t="s">
        <v>763</v>
      </c>
      <c r="F322" s="103"/>
    </row>
    <row r="323" spans="2:6" ht="40.5">
      <c r="B323" s="89">
        <v>407</v>
      </c>
      <c r="D323" s="89" t="s">
        <v>474</v>
      </c>
      <c r="E323" s="130" t="s">
        <v>764</v>
      </c>
      <c r="F323" s="103"/>
    </row>
    <row r="324" spans="2:6" ht="14.4">
      <c r="B324" s="89">
        <v>408</v>
      </c>
      <c r="D324" s="89" t="s">
        <v>475</v>
      </c>
      <c r="E324" s="130" t="s">
        <v>765</v>
      </c>
      <c r="F324" s="103"/>
    </row>
    <row r="325" spans="2:6" ht="14.4">
      <c r="B325" s="89">
        <v>409</v>
      </c>
      <c r="D325" s="89" t="s">
        <v>476</v>
      </c>
      <c r="E325" s="130" t="s">
        <v>766</v>
      </c>
      <c r="F325" s="103"/>
    </row>
    <row r="326" spans="2:6" ht="14.4">
      <c r="B326" s="89">
        <v>410</v>
      </c>
      <c r="D326" s="89" t="s">
        <v>477</v>
      </c>
      <c r="E326" s="130" t="s">
        <v>767</v>
      </c>
      <c r="F326" s="103"/>
    </row>
    <row r="327" spans="2:6" ht="14.4">
      <c r="B327" s="89">
        <v>411</v>
      </c>
      <c r="D327" s="89" t="s">
        <v>179</v>
      </c>
      <c r="E327" s="130" t="s">
        <v>478</v>
      </c>
      <c r="F327" s="103"/>
    </row>
    <row r="328" spans="2:6" ht="14.4">
      <c r="B328" s="89">
        <v>412</v>
      </c>
      <c r="D328" s="89" t="s">
        <v>479</v>
      </c>
      <c r="E328" s="89" t="s">
        <v>768</v>
      </c>
      <c r="F328" s="103"/>
    </row>
    <row r="329" spans="2:6" ht="14.4">
      <c r="B329" s="89">
        <v>413</v>
      </c>
      <c r="D329" s="89" t="s">
        <v>293</v>
      </c>
      <c r="E329" s="89" t="s">
        <v>769</v>
      </c>
      <c r="F329" s="104"/>
    </row>
    <row r="330" spans="2:6" ht="54">
      <c r="B330" s="89">
        <v>414</v>
      </c>
      <c r="D330" s="89" t="s">
        <v>891</v>
      </c>
      <c r="E330" s="89" t="s">
        <v>770</v>
      </c>
      <c r="F330" s="103"/>
    </row>
    <row r="331" spans="2:6" ht="14.4">
      <c r="B331" s="89">
        <v>415</v>
      </c>
      <c r="D331" s="89" t="s">
        <v>181</v>
      </c>
      <c r="E331" s="130" t="s">
        <v>480</v>
      </c>
      <c r="F331" s="103"/>
    </row>
    <row r="332" spans="2:6" ht="14.4">
      <c r="B332" s="89">
        <v>416</v>
      </c>
      <c r="D332" s="89" t="s">
        <v>481</v>
      </c>
      <c r="E332" s="130" t="s">
        <v>771</v>
      </c>
      <c r="F332" s="104"/>
    </row>
    <row r="333" spans="2:6" ht="14.4">
      <c r="B333" s="89">
        <v>417</v>
      </c>
      <c r="D333" s="89" t="s">
        <v>294</v>
      </c>
      <c r="E333" s="130" t="s">
        <v>772</v>
      </c>
      <c r="F333" s="104"/>
    </row>
    <row r="334" spans="2:6" ht="40.5">
      <c r="B334" s="89">
        <v>418</v>
      </c>
      <c r="D334" s="89" t="s">
        <v>773</v>
      </c>
      <c r="E334" s="130" t="s">
        <v>774</v>
      </c>
      <c r="F334" s="103"/>
    </row>
    <row r="335" spans="2:6" ht="14.4">
      <c r="B335" s="89">
        <v>419</v>
      </c>
      <c r="D335" s="89" t="s">
        <v>482</v>
      </c>
      <c r="E335" s="130" t="s">
        <v>775</v>
      </c>
      <c r="F335" s="103"/>
    </row>
    <row r="336" spans="2:6" ht="14.4">
      <c r="B336" s="89">
        <v>420</v>
      </c>
      <c r="D336" s="89" t="s">
        <v>130</v>
      </c>
      <c r="E336" s="130" t="s">
        <v>776</v>
      </c>
      <c r="F336" s="103"/>
    </row>
    <row r="337" spans="2:6" ht="14.4">
      <c r="B337" s="89">
        <v>42001</v>
      </c>
      <c r="C337" s="89" t="s">
        <v>892</v>
      </c>
      <c r="D337" s="89" t="s">
        <v>893</v>
      </c>
      <c r="E337" s="130" t="s">
        <v>894</v>
      </c>
      <c r="F337" s="103"/>
    </row>
    <row r="338" spans="2:6" ht="14.4">
      <c r="B338" s="89">
        <v>421</v>
      </c>
      <c r="D338" s="89" t="s">
        <v>128</v>
      </c>
      <c r="E338" s="130" t="s">
        <v>777</v>
      </c>
      <c r="F338" s="103"/>
    </row>
    <row r="339" spans="2:6" ht="14.4">
      <c r="B339" s="89">
        <v>42101</v>
      </c>
      <c r="C339" s="89" t="s">
        <v>849</v>
      </c>
      <c r="D339" s="89" t="s">
        <v>895</v>
      </c>
      <c r="E339" s="130" t="s">
        <v>896</v>
      </c>
      <c r="F339" s="103"/>
    </row>
    <row r="340" spans="2:6" ht="14.4">
      <c r="B340" s="89">
        <v>422</v>
      </c>
      <c r="D340" s="89" t="s">
        <v>177</v>
      </c>
      <c r="E340" s="130" t="s">
        <v>483</v>
      </c>
      <c r="F340" s="103"/>
    </row>
    <row r="341" spans="2:6" ht="25.8">
      <c r="B341" s="89">
        <v>423</v>
      </c>
      <c r="D341" s="89" t="s">
        <v>484</v>
      </c>
      <c r="E341" s="89" t="s">
        <v>778</v>
      </c>
      <c r="F341" s="103"/>
    </row>
    <row r="342" spans="2:6" ht="14.4">
      <c r="B342" s="89">
        <v>424</v>
      </c>
      <c r="D342" s="89" t="s">
        <v>295</v>
      </c>
      <c r="E342" s="130" t="s">
        <v>485</v>
      </c>
      <c r="F342" s="103"/>
    </row>
    <row r="343" spans="2:6" ht="27">
      <c r="B343" s="89">
        <v>425</v>
      </c>
      <c r="D343" s="89" t="s">
        <v>315</v>
      </c>
      <c r="E343" s="130" t="s">
        <v>779</v>
      </c>
      <c r="F343" s="103"/>
    </row>
    <row r="344" spans="2:6" ht="14.4">
      <c r="B344" s="89">
        <v>426</v>
      </c>
      <c r="D344" s="89" t="s">
        <v>143</v>
      </c>
      <c r="E344" s="130" t="s">
        <v>486</v>
      </c>
      <c r="F344" s="103"/>
    </row>
    <row r="345" spans="2:6" ht="14.4">
      <c r="B345" s="89">
        <v>427</v>
      </c>
      <c r="D345" s="89" t="s">
        <v>171</v>
      </c>
      <c r="E345" s="130" t="s">
        <v>780</v>
      </c>
      <c r="F345" s="103"/>
    </row>
    <row r="346" spans="2:6" ht="14.4">
      <c r="B346" s="89">
        <v>428</v>
      </c>
      <c r="D346" s="89" t="s">
        <v>781</v>
      </c>
      <c r="E346" s="130" t="s">
        <v>782</v>
      </c>
      <c r="F346" s="103"/>
    </row>
    <row r="347" spans="2:6" ht="14.4">
      <c r="B347" s="89">
        <v>429</v>
      </c>
      <c r="D347" s="89" t="s">
        <v>296</v>
      </c>
      <c r="E347" s="130" t="s">
        <v>783</v>
      </c>
      <c r="F347" s="103"/>
    </row>
    <row r="348" spans="2:6" ht="14.4">
      <c r="B348" s="89">
        <v>430</v>
      </c>
      <c r="D348" s="89" t="s">
        <v>297</v>
      </c>
      <c r="E348" s="130" t="s">
        <v>784</v>
      </c>
      <c r="F348" s="103"/>
    </row>
    <row r="349" spans="2:6" ht="14.4">
      <c r="B349" s="89">
        <v>431</v>
      </c>
      <c r="D349" s="89" t="s">
        <v>298</v>
      </c>
      <c r="E349" s="130" t="s">
        <v>785</v>
      </c>
      <c r="F349" s="103"/>
    </row>
    <row r="350" spans="2:6" ht="14.4">
      <c r="B350" s="89">
        <v>432</v>
      </c>
      <c r="D350" s="89" t="s">
        <v>170</v>
      </c>
      <c r="E350" s="130" t="s">
        <v>786</v>
      </c>
      <c r="F350" s="103"/>
    </row>
    <row r="351" spans="2:6" ht="14.4">
      <c r="B351" s="89">
        <v>433</v>
      </c>
      <c r="D351" s="89" t="s">
        <v>113</v>
      </c>
      <c r="E351" s="89" t="s">
        <v>113</v>
      </c>
      <c r="F351" s="103"/>
    </row>
    <row r="352" spans="2:6" ht="14.4">
      <c r="B352" s="89">
        <v>434</v>
      </c>
      <c r="D352" s="89" t="s">
        <v>487</v>
      </c>
      <c r="E352" s="89" t="s">
        <v>787</v>
      </c>
      <c r="F352" s="103"/>
    </row>
    <row r="353" spans="2:6" ht="27">
      <c r="B353" s="89">
        <v>435</v>
      </c>
      <c r="D353" s="89" t="s">
        <v>488</v>
      </c>
      <c r="E353" s="89" t="s">
        <v>788</v>
      </c>
      <c r="F353" s="103"/>
    </row>
    <row r="354" spans="2:6" ht="14.4">
      <c r="B354" s="89">
        <v>436</v>
      </c>
      <c r="D354" s="89" t="s">
        <v>299</v>
      </c>
      <c r="E354" s="89" t="s">
        <v>299</v>
      </c>
      <c r="F354" s="103"/>
    </row>
    <row r="355" spans="2:6" ht="54">
      <c r="B355" s="89">
        <v>437</v>
      </c>
      <c r="D355" s="89" t="s">
        <v>897</v>
      </c>
      <c r="E355" s="89" t="s">
        <v>524</v>
      </c>
      <c r="F355" s="103"/>
    </row>
    <row r="356" spans="2:6" ht="14.4">
      <c r="B356" s="89">
        <v>438</v>
      </c>
      <c r="D356" s="89" t="s">
        <v>178</v>
      </c>
      <c r="E356" s="130" t="s">
        <v>489</v>
      </c>
      <c r="F356" s="103"/>
    </row>
    <row r="357" spans="2:6" ht="14.4">
      <c r="B357" s="89">
        <v>439</v>
      </c>
      <c r="D357" s="89" t="s">
        <v>898</v>
      </c>
      <c r="E357" s="130" t="s">
        <v>490</v>
      </c>
      <c r="F357" s="103"/>
    </row>
    <row r="358" spans="2:6" ht="14.4">
      <c r="B358" s="89">
        <v>440</v>
      </c>
      <c r="D358" s="89" t="s">
        <v>119</v>
      </c>
      <c r="E358" s="130" t="s">
        <v>491</v>
      </c>
      <c r="F358" s="103"/>
    </row>
    <row r="359" spans="2:6" ht="14.4">
      <c r="B359" s="89">
        <v>441</v>
      </c>
      <c r="D359" s="89" t="s">
        <v>300</v>
      </c>
      <c r="E359" s="130" t="s">
        <v>789</v>
      </c>
      <c r="F359" s="103"/>
    </row>
    <row r="360" spans="2:6" ht="14.4">
      <c r="B360" s="89">
        <v>442</v>
      </c>
      <c r="D360" s="89" t="s">
        <v>301</v>
      </c>
      <c r="E360" s="130" t="s">
        <v>790</v>
      </c>
      <c r="F360" s="103"/>
    </row>
    <row r="361" spans="2:6" ht="14.4">
      <c r="B361" s="89">
        <v>443</v>
      </c>
      <c r="D361" s="89" t="s">
        <v>302</v>
      </c>
      <c r="E361" s="89" t="s">
        <v>791</v>
      </c>
      <c r="F361" s="103"/>
    </row>
    <row r="362" spans="2:6" ht="14.4">
      <c r="B362" s="89">
        <v>444</v>
      </c>
      <c r="D362" s="89" t="s">
        <v>303</v>
      </c>
      <c r="E362" s="130" t="s">
        <v>492</v>
      </c>
      <c r="F362" s="103"/>
    </row>
    <row r="363" spans="2:6" ht="14.4">
      <c r="B363" s="89">
        <v>445</v>
      </c>
      <c r="D363" s="89" t="s">
        <v>493</v>
      </c>
      <c r="F363" s="103"/>
    </row>
    <row r="364" spans="2:6" ht="14.4">
      <c r="B364" s="89">
        <v>446</v>
      </c>
      <c r="D364" s="89" t="s">
        <v>494</v>
      </c>
      <c r="F364" s="104"/>
    </row>
    <row r="365" spans="2:6" ht="14.4">
      <c r="B365" s="89">
        <v>447</v>
      </c>
      <c r="D365" s="89" t="s">
        <v>495</v>
      </c>
      <c r="E365" s="89" t="s">
        <v>792</v>
      </c>
      <c r="F365" s="103"/>
    </row>
    <row r="366" spans="2:6" ht="14.4">
      <c r="B366" s="89">
        <v>448</v>
      </c>
      <c r="D366" s="89" t="s">
        <v>899</v>
      </c>
      <c r="E366" s="89" t="s">
        <v>793</v>
      </c>
      <c r="F366" s="103"/>
    </row>
    <row r="367" spans="2:6" ht="14.4">
      <c r="B367" s="89">
        <v>449</v>
      </c>
      <c r="D367" s="89" t="s">
        <v>496</v>
      </c>
      <c r="E367" s="89" t="s">
        <v>900</v>
      </c>
      <c r="F367" s="103"/>
    </row>
    <row r="368" spans="2:6" ht="14.4">
      <c r="B368" s="89">
        <v>450</v>
      </c>
      <c r="D368" s="89" t="s">
        <v>819</v>
      </c>
      <c r="E368" s="89" t="s">
        <v>794</v>
      </c>
      <c r="F368" s="103"/>
    </row>
    <row r="369" spans="2:6" ht="14.4">
      <c r="B369" s="89">
        <v>451</v>
      </c>
      <c r="D369" s="89" t="s">
        <v>497</v>
      </c>
      <c r="E369" s="89" t="s">
        <v>795</v>
      </c>
      <c r="F369" s="103"/>
    </row>
    <row r="370" spans="2:6" ht="27">
      <c r="B370" s="89">
        <v>452</v>
      </c>
      <c r="D370" s="89" t="s">
        <v>901</v>
      </c>
      <c r="E370" s="89" t="s">
        <v>902</v>
      </c>
      <c r="F370" s="103"/>
    </row>
    <row r="371" spans="2:6" ht="14.4">
      <c r="B371" s="89">
        <v>453</v>
      </c>
      <c r="D371" s="89" t="s">
        <v>168</v>
      </c>
      <c r="E371" s="89" t="s">
        <v>168</v>
      </c>
      <c r="F371" s="103"/>
    </row>
    <row r="372" spans="2:6" ht="27">
      <c r="B372" s="89">
        <v>454</v>
      </c>
      <c r="D372" s="89" t="s">
        <v>903</v>
      </c>
      <c r="E372" s="130" t="s">
        <v>904</v>
      </c>
      <c r="F372" s="103"/>
    </row>
    <row r="373" spans="2:6" ht="14.4">
      <c r="B373" s="89">
        <v>455</v>
      </c>
      <c r="D373" s="89" t="s">
        <v>319</v>
      </c>
      <c r="E373" s="130" t="s">
        <v>796</v>
      </c>
      <c r="F373" s="103"/>
    </row>
    <row r="374" spans="2:6" ht="14.4">
      <c r="B374" s="89">
        <v>456</v>
      </c>
      <c r="D374" s="89" t="s">
        <v>498</v>
      </c>
      <c r="E374" s="89" t="s">
        <v>797</v>
      </c>
      <c r="F374" s="103"/>
    </row>
    <row r="375" spans="2:6" ht="14.4">
      <c r="B375" s="89">
        <v>457</v>
      </c>
      <c r="D375" s="89" t="s">
        <v>499</v>
      </c>
      <c r="E375" s="89" t="s">
        <v>798</v>
      </c>
      <c r="F375" s="103"/>
    </row>
    <row r="376" spans="2:6" ht="14.4">
      <c r="B376" s="89">
        <v>458</v>
      </c>
      <c r="D376" s="89" t="s">
        <v>500</v>
      </c>
      <c r="E376" s="89" t="s">
        <v>799</v>
      </c>
      <c r="F376" s="103"/>
    </row>
    <row r="377" spans="2:6" ht="14.4">
      <c r="B377" s="89">
        <v>459</v>
      </c>
      <c r="D377" s="89" t="s">
        <v>501</v>
      </c>
      <c r="E377" s="130" t="s">
        <v>800</v>
      </c>
      <c r="F377" s="103"/>
    </row>
    <row r="378" spans="2:6" ht="27">
      <c r="B378" s="89">
        <v>460</v>
      </c>
      <c r="D378" s="89" t="s">
        <v>502</v>
      </c>
      <c r="E378" s="89" t="s">
        <v>801</v>
      </c>
      <c r="F378" s="103"/>
    </row>
    <row r="379" spans="2:6" ht="14.4">
      <c r="B379" s="89">
        <v>461</v>
      </c>
      <c r="D379" s="89" t="s">
        <v>503</v>
      </c>
      <c r="E379" s="130" t="s">
        <v>800</v>
      </c>
      <c r="F379" s="103"/>
    </row>
    <row r="380" spans="2:6" ht="14.4">
      <c r="B380" s="89">
        <v>462</v>
      </c>
      <c r="D380" s="89" t="s">
        <v>312</v>
      </c>
      <c r="E380" s="130" t="s">
        <v>802</v>
      </c>
      <c r="F380" s="103"/>
    </row>
    <row r="381" spans="2:6" ht="14.4">
      <c r="B381" s="89">
        <v>463</v>
      </c>
      <c r="D381" s="89" t="s">
        <v>141</v>
      </c>
      <c r="E381" s="130" t="s">
        <v>803</v>
      </c>
      <c r="F381" s="103"/>
    </row>
    <row r="382" spans="2:6" ht="14.4">
      <c r="B382" s="89">
        <v>464</v>
      </c>
      <c r="D382" s="89" t="s">
        <v>504</v>
      </c>
      <c r="E382" s="130" t="s">
        <v>804</v>
      </c>
      <c r="F382" s="103"/>
    </row>
    <row r="383" spans="2:6" ht="14.4">
      <c r="B383" s="89">
        <v>465</v>
      </c>
      <c r="D383" s="89" t="s">
        <v>142</v>
      </c>
      <c r="E383" s="130" t="s">
        <v>805</v>
      </c>
      <c r="F383" s="103"/>
    </row>
    <row r="384" spans="2:6" ht="27">
      <c r="B384" s="89">
        <v>466</v>
      </c>
      <c r="D384" s="89" t="s">
        <v>505</v>
      </c>
      <c r="E384" s="89" t="s">
        <v>806</v>
      </c>
      <c r="F384" s="103"/>
    </row>
    <row r="385" spans="2:6" ht="14.4">
      <c r="B385" s="89">
        <v>467</v>
      </c>
      <c r="D385" s="89" t="s">
        <v>506</v>
      </c>
      <c r="E385" s="89" t="s">
        <v>799</v>
      </c>
      <c r="F385" s="103"/>
    </row>
    <row r="386" spans="2:6" ht="40.5">
      <c r="B386" s="89">
        <v>468</v>
      </c>
      <c r="D386" s="89" t="s">
        <v>507</v>
      </c>
      <c r="E386" s="130" t="s">
        <v>807</v>
      </c>
      <c r="F386" s="103"/>
    </row>
    <row r="387" spans="2:6" ht="40.5">
      <c r="B387" s="89">
        <v>469</v>
      </c>
      <c r="D387" s="89" t="s">
        <v>508</v>
      </c>
      <c r="E387" s="130" t="s">
        <v>808</v>
      </c>
      <c r="F387" s="103"/>
    </row>
    <row r="388" spans="2:6" ht="14.1">
      <c r="B388" s="89">
        <v>470</v>
      </c>
      <c r="D388" s="89" t="s">
        <v>304</v>
      </c>
      <c r="E388" s="130" t="s">
        <v>809</v>
      </c>
      <c r="F388" s="101"/>
    </row>
    <row r="389" spans="2:6" ht="40.5">
      <c r="B389" s="89">
        <v>471</v>
      </c>
      <c r="D389" s="89" t="s">
        <v>509</v>
      </c>
      <c r="E389" s="130" t="s">
        <v>810</v>
      </c>
    </row>
    <row r="390" spans="2:6" ht="13.5">
      <c r="B390" s="89">
        <v>472</v>
      </c>
      <c r="D390" s="89" t="s">
        <v>305</v>
      </c>
      <c r="E390" s="130" t="s">
        <v>811</v>
      </c>
    </row>
    <row r="391" spans="2:6" ht="13.5">
      <c r="B391" s="89">
        <v>473</v>
      </c>
      <c r="D391" s="89" t="s">
        <v>306</v>
      </c>
      <c r="E391" s="130" t="s">
        <v>812</v>
      </c>
    </row>
    <row r="392" spans="2:6" ht="13.5">
      <c r="B392" s="89">
        <v>474</v>
      </c>
      <c r="D392" s="89" t="s">
        <v>307</v>
      </c>
      <c r="E392" s="89" t="s">
        <v>813</v>
      </c>
    </row>
    <row r="393" spans="2:6" ht="13.5">
      <c r="B393" s="89">
        <v>475</v>
      </c>
      <c r="D393" s="89" t="s">
        <v>308</v>
      </c>
      <c r="E393" s="89" t="s">
        <v>814</v>
      </c>
    </row>
    <row r="394" spans="2:6" ht="13.5">
      <c r="B394" s="89">
        <v>476</v>
      </c>
      <c r="D394" s="89" t="s">
        <v>510</v>
      </c>
      <c r="E394" s="89" t="s">
        <v>815</v>
      </c>
    </row>
    <row r="395" spans="2:6" ht="13.5">
      <c r="B395" s="89">
        <v>477</v>
      </c>
      <c r="D395" s="89" t="s">
        <v>314</v>
      </c>
      <c r="E395" s="130" t="s">
        <v>816</v>
      </c>
    </row>
    <row r="396" spans="2:6" ht="26.4">
      <c r="B396" s="89">
        <v>478</v>
      </c>
      <c r="D396" s="89" t="s">
        <v>905</v>
      </c>
      <c r="E396" s="89" t="s">
        <v>906</v>
      </c>
    </row>
    <row r="397" spans="2:6" ht="13.5">
      <c r="B397" s="89">
        <v>479</v>
      </c>
      <c r="D397" s="89" t="s">
        <v>907</v>
      </c>
      <c r="E397" s="89" t="s">
        <v>908</v>
      </c>
    </row>
    <row r="398" spans="2:6" ht="13.5">
      <c r="B398" s="89">
        <v>480</v>
      </c>
      <c r="D398" s="89" t="s">
        <v>909</v>
      </c>
      <c r="E398" s="89" t="s">
        <v>910</v>
      </c>
    </row>
    <row r="399" spans="2:6" ht="27">
      <c r="B399" s="89">
        <v>481</v>
      </c>
      <c r="D399" s="89" t="s">
        <v>911</v>
      </c>
      <c r="E399" s="89" t="s">
        <v>912</v>
      </c>
    </row>
    <row r="400" spans="2:6" ht="27">
      <c r="B400" s="89">
        <v>482</v>
      </c>
      <c r="D400" s="89" t="s">
        <v>913</v>
      </c>
      <c r="E400" s="89" t="s">
        <v>914</v>
      </c>
    </row>
    <row r="401" spans="2:5" ht="27">
      <c r="B401" s="89">
        <v>483</v>
      </c>
      <c r="D401" s="89" t="s">
        <v>915</v>
      </c>
      <c r="E401" s="89" t="s">
        <v>916</v>
      </c>
    </row>
    <row r="402" spans="2:5" ht="13.5">
      <c r="B402" s="89">
        <v>484</v>
      </c>
      <c r="D402" s="89" t="s">
        <v>917</v>
      </c>
      <c r="E402" s="89" t="s">
        <v>918</v>
      </c>
    </row>
    <row r="403" spans="2:5" ht="27">
      <c r="B403" s="89">
        <v>485</v>
      </c>
      <c r="D403" s="89" t="s">
        <v>919</v>
      </c>
      <c r="E403" s="89" t="s">
        <v>920</v>
      </c>
    </row>
    <row r="404" spans="2:5" ht="13.5">
      <c r="B404" s="89">
        <v>486</v>
      </c>
      <c r="D404" s="89" t="s">
        <v>921</v>
      </c>
      <c r="E404" s="89" t="s">
        <v>922</v>
      </c>
    </row>
    <row r="405" spans="2:5" ht="40.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문은빈</cp:lastModifiedBy>
  <cp:lastPrinted>2015-10-24T14:06:22Z</cp:lastPrinted>
  <dcterms:created xsi:type="dcterms:W3CDTF">2000-03-16T11:25:57Z</dcterms:created>
  <dcterms:modified xsi:type="dcterms:W3CDTF">2019-03-12T01:49:45Z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