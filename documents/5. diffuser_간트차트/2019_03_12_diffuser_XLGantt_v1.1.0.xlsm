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UX410UF\Documents\GitHub\Diffuser\documents\5. diffuser_간트차트\"/>
    </mc:Choice>
  </mc:AlternateContent>
  <xr:revisionPtr revIDLastSave="0" documentId="13_ncr:1_{B10EEF3B-05B5-47A8-BCC9-384A1DBC63FE}"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T55" i="1"/>
  <c r="DU55" i="1"/>
  <c r="W56" i="1"/>
  <c r="DT56" i="1"/>
  <c r="DU56" i="1"/>
  <c r="W57" i="1"/>
  <c r="EE57" i="1"/>
  <c r="EF57" i="1"/>
  <c r="W58" i="1"/>
  <c r="EF58" i="1"/>
  <c r="EG58" i="1"/>
  <c r="W59" i="1"/>
  <c r="EG59" i="1"/>
  <c r="EH59" i="1"/>
  <c r="S60" i="1"/>
  <c r="W60" i="1"/>
  <c r="FE60" i="1"/>
  <c r="FF60" i="1"/>
  <c r="S61" i="1"/>
  <c r="W61" i="1"/>
  <c r="FB61" i="1"/>
  <c r="FC61" i="1"/>
  <c r="W62" i="1"/>
  <c r="EH62" i="1"/>
  <c r="EI62" i="1"/>
  <c r="W63" i="1"/>
  <c r="DT63" i="1"/>
  <c r="DU63" i="1"/>
  <c r="S64" i="1"/>
  <c r="W64" i="1"/>
  <c r="EV64" i="1"/>
  <c r="EW64" i="1"/>
  <c r="S65" i="1"/>
  <c r="W65" i="1"/>
  <c r="FL65" i="1"/>
  <c r="FM65" i="1"/>
  <c r="S66" i="1"/>
  <c r="W66" i="1"/>
  <c r="EX66" i="1"/>
  <c r="EY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ES76" i="1"/>
  <c r="ET76" i="1"/>
  <c r="W77" i="1"/>
  <c r="ES77" i="1"/>
  <c r="ET77" i="1"/>
  <c r="S78" i="1"/>
  <c r="W78" i="1"/>
  <c r="EW78" i="1"/>
  <c r="EX78" i="1"/>
  <c r="W79" i="1"/>
  <c r="ES79" i="1"/>
  <c r="ET79" i="1"/>
  <c r="S80" i="1"/>
  <c r="W80" i="1"/>
  <c r="EY80" i="1"/>
  <c r="EZ80" i="1"/>
  <c r="S81" i="1"/>
  <c r="W81" i="1"/>
  <c r="FC81" i="1"/>
  <c r="FD81" i="1"/>
  <c r="S82" i="1"/>
  <c r="W82" i="1"/>
  <c r="HV82" i="1"/>
  <c r="HW82" i="1"/>
  <c r="S83" i="1"/>
  <c r="W83" i="1"/>
  <c r="HV83" i="1"/>
  <c r="HW83" i="1"/>
  <c r="S84" i="1"/>
  <c r="W84" i="1"/>
  <c r="HV84" i="1"/>
  <c r="HW84" i="1"/>
  <c r="S85" i="1"/>
  <c r="W85" i="1"/>
  <c r="IB85" i="1"/>
  <c r="IC85" i="1"/>
  <c r="S86" i="1"/>
  <c r="W86" i="1"/>
  <c r="IB86" i="1"/>
  <c r="IC86" i="1"/>
  <c r="S87" i="1"/>
  <c r="W87" i="1"/>
  <c r="IB87" i="1"/>
  <c r="IC87" i="1"/>
  <c r="S88" i="1"/>
  <c r="W88" i="1"/>
  <c r="IC88" i="1"/>
  <c r="ID88" i="1"/>
  <c r="S89" i="1"/>
  <c r="W89" i="1"/>
  <c r="IC89" i="1"/>
  <c r="ID89" i="1"/>
  <c r="S90" i="1"/>
  <c r="W90" i="1"/>
  <c r="IC90" i="1"/>
  <c r="ID90" i="1"/>
  <c r="S91" i="1"/>
  <c r="W91" i="1"/>
  <c r="IH91" i="1"/>
  <c r="II91" i="1"/>
  <c r="R5" i="1"/>
  <c r="R13" i="1"/>
  <c r="R22" i="1"/>
  <c r="R30" i="1"/>
  <c r="R38" i="1"/>
  <c r="R46" i="1"/>
  <c r="R54" i="1"/>
  <c r="S57" i="1"/>
  <c r="R62" i="1"/>
  <c r="R70" i="1"/>
  <c r="R78" i="1"/>
  <c r="R86" i="1"/>
  <c r="R35" i="1"/>
  <c r="S54" i="1"/>
  <c r="R59" i="1"/>
  <c r="S62" i="1"/>
  <c r="R67" i="1"/>
  <c r="W9" i="1"/>
  <c r="S39" i="1"/>
  <c r="R52" i="1"/>
  <c r="S55" i="1"/>
  <c r="R60" i="1"/>
  <c r="S5" i="1"/>
  <c r="R10" i="1"/>
  <c r="R19" i="1"/>
  <c r="R83" i="1"/>
  <c r="R68" i="1"/>
  <c r="R76" i="1"/>
  <c r="S79" i="1"/>
  <c r="R7" i="1"/>
  <c r="R15" i="1"/>
  <c r="R24" i="1"/>
  <c r="R32" i="1"/>
  <c r="R40" i="1"/>
  <c r="S43" i="1"/>
  <c r="R48" i="1"/>
  <c r="R56" i="1"/>
  <c r="R64" i="1"/>
  <c r="R72" i="1"/>
  <c r="R80" i="1"/>
  <c r="R88" i="1"/>
  <c r="R14" i="1"/>
  <c r="R39" i="1"/>
  <c r="R55" i="1"/>
  <c r="R11" i="1"/>
  <c r="R84" i="1"/>
  <c r="R12" i="1"/>
  <c r="R21" i="1"/>
  <c r="R29" i="1"/>
  <c r="R37" i="1"/>
  <c r="S40" i="1"/>
  <c r="R45" i="1"/>
  <c r="R53" i="1"/>
  <c r="S56" i="1"/>
  <c r="R61" i="1"/>
  <c r="R69" i="1"/>
  <c r="R77" i="1"/>
  <c r="R85" i="1"/>
  <c r="S77" i="1"/>
  <c r="R82" i="1"/>
  <c r="R90" i="1"/>
  <c r="R31" i="1"/>
  <c r="R47" i="1"/>
  <c r="R87" i="1"/>
  <c r="W7" i="1"/>
  <c r="R9" i="1"/>
  <c r="R18" i="1"/>
  <c r="S21" i="1"/>
  <c r="R26" i="1"/>
  <c r="R34" i="1"/>
  <c r="S37" i="1"/>
  <c r="R42" i="1"/>
  <c r="R50" i="1"/>
  <c r="R58" i="1"/>
  <c r="R66" i="1"/>
  <c r="S69" i="1"/>
  <c r="R74" i="1"/>
  <c r="R23" i="1"/>
  <c r="S58" i="1"/>
  <c r="R63" i="1"/>
  <c r="R71" i="1"/>
  <c r="R28" i="1"/>
  <c r="S47" i="1"/>
  <c r="R6" i="1"/>
  <c r="R36" i="1"/>
  <c r="R44" i="1"/>
  <c r="R8" i="1"/>
  <c r="S11" i="1"/>
  <c r="R17" i="1"/>
  <c r="R25" i="1"/>
  <c r="R33" i="1"/>
  <c r="S36" i="1"/>
  <c r="R41" i="1"/>
  <c r="R49" i="1"/>
  <c r="R57" i="1"/>
  <c r="R65" i="1"/>
  <c r="S68" i="1"/>
  <c r="R73" i="1"/>
  <c r="S76" i="1"/>
  <c r="R81" i="1"/>
  <c r="R89" i="1"/>
  <c r="R27" i="1"/>
  <c r="R43" i="1"/>
  <c r="R51" i="1"/>
  <c r="S70" i="1"/>
  <c r="R75" i="1"/>
  <c r="R91" i="1"/>
  <c r="R79" i="1"/>
  <c r="R20" i="1"/>
  <c r="S51" i="1" l="1"/>
  <c r="S27" i="1"/>
  <c r="S73" i="1"/>
  <c r="S49" i="1"/>
  <c r="S41" i="1"/>
  <c r="S33" i="1"/>
  <c r="S25" i="1"/>
  <c r="S8" i="1"/>
  <c r="S44" i="1"/>
  <c r="S6" i="1"/>
  <c r="S28" i="1"/>
  <c r="S71" i="1"/>
  <c r="S63" i="1"/>
  <c r="S23" i="1"/>
  <c r="S50" i="1"/>
  <c r="S42" i="1"/>
  <c r="S34" i="1"/>
  <c r="S26" i="1"/>
  <c r="S9" i="1"/>
  <c r="S31" i="1"/>
  <c r="S53" i="1"/>
  <c r="S45" i="1"/>
  <c r="S29" i="1"/>
  <c r="S12" i="1"/>
  <c r="S72" i="1"/>
  <c r="S48" i="1"/>
  <c r="S32" i="1"/>
  <c r="S24" i="1"/>
  <c r="S7" i="1"/>
  <c r="S10" i="1"/>
  <c r="S52" i="1"/>
  <c r="S59" i="1"/>
  <c r="S35" i="1"/>
  <c r="S38" i="1"/>
  <c r="S30" i="1"/>
  <c r="S22"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<sst xmlns="http://schemas.openxmlformats.org/spreadsheetml/2006/main" count="1589" uniqueCount="1191">
  <si>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</si>
  <si>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</si>
  <si>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</si>
  <si>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</si>
  <si>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</si>
  <si>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</si>
  <si>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</si>
  <si>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</si>
  <si>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</si>
  <si>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</si>
  <si>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</si>
  <si>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</si>
  <si>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</si>
  <si>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</si>
  <si>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</si>
  <si>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</si>
  <si>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</si>
  <si>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</si>
  <si>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</si>
  <si>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</si>
  <si>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</si>
  <si>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</si>
  <si>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</si>
  <si>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</si>
  <si>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</si>
  <si>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</si>
  <si>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</si>
  <si>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</si>
  <si>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</si>
  <si>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</si>
  <si>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</si>
  <si>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</si>
  <si>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</si>
  <si>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</si>
  <si>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</si>
  <si>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</si>
  <si>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</si>
  <si>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</si>
  <si>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</si>
  <si>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</si>
  <si>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</si>
  <si>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</si>
  <si>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</si>
  <si>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</si>
  <si>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</si>
  <si>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</si>
  <si>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</si>
  <si>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</si>
  <si>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</si>
  <si>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</si>
  <si>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</si>
  <si>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</si>
  <si>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</si>
  <si>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</si>
  <si>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</si>
  <si>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</si>
  <si>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</si>
  <si>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</si>
  <si>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</si>
  <si>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</si>
  <si>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</si>
  <si>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</si>
  <si>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</si>
  <si>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</si>
  <si>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</si>
  <si>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</si>
  <si>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</si>
  <si>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</si>
  <si>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</si>
  <si>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</si>
  <si>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</si>
  <si>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</si>
  <si>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</si>
  <si>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</si>
  <si>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</si>
  <si>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</si>
  <si>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</si>
  <si>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</si>
  <si>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</si>
  <si>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</si>
  <si>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</si>
  <si>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</si>
  <si>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</si>
  <si>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</si>
  <si>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</si>
  <si>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</si>
  <si>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</si>
  <si>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</si>
  <si>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</si>
  <si>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</si>
  <si>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</si>
  <si>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</si>
  <si>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</si>
  <si>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</si>
  <si>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</si>
  <si>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</si>
  <si>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</si>
  <si>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</si>
  <si>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</si>
  <si>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</si>
  <si>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</si>
  <si>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</si>
  <si>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</si>
  <si>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</si>
  <si>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</si>
  <si>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</si>
  <si>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</si>
  <si>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</si>
  <si>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</si>
  <si>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</si>
  <si>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</si>
  <si>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</si>
  <si>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</si>
  <si>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</si>
  <si>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</si>
  <si>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</si>
  <si>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</si>
  <si>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</si>
  <si>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</si>
  <si>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</si>
  <si>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</si>
  <si>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</si>
  <si>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</si>
  <si>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</si>
  <si>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</si>
  <si>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</si>
  <si>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</si>
  <si>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</si>
  <si>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</si>
  <si>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</si>
  <si>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</si>
  <si>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</si>
  <si>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</si>
  <si>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</si>
  <si>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</si>
  <si>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</si>
  <si>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</si>
  <si>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</si>
  <si>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</si>
  <si>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</si>
  <si>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</si>
  <si>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</si>
  <si>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</si>
  <si>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</si>
  <si>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</si>
  <si>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</si>
  <si>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</si>
  <si>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</si>
  <si>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</si>
  <si>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</si>
  <si>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</si>
  <si>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</si>
  <si>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</si>
  <si>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</si>
  <si>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</si>
  <si>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</si>
  <si>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</si>
  <si>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</si>
  <si>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</si>
  <si>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</si>
  <si>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</si>
  <si>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</si>
  <si>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</si>
  <si>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</si>
  <si>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</si>
  <si>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</si>
  <si>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</si>
  <si>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</si>
  <si>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</si>
  <si>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</si>
  <si>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</si>
  <si>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</si>
  <si>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</si>
  <si>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</si>
  <si>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</si>
  <si>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</si>
  <si>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</si>
  <si>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</si>
  <si>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</si>
  <si>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</si>
  <si>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</si>
  <si>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</si>
  <si>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</si>
  <si>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</si>
  <si>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</si>
  <si>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</si>
  <si>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</si>
  <si>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</si>
  <si>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</si>
  <si>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</si>
  <si>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</si>
  <si>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</si>
  <si>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</si>
  <si>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</si>
  <si>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</si>
  <si>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</si>
  <si>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</si>
  <si>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</si>
  <si>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</si>
  <si>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</si>
  <si>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</si>
  <si>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</si>
  <si>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</si>
  <si>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</si>
  <si>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</si>
  <si>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</si>
  <si>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</si>
  <si>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</si>
  <si>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</si>
  <si>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</si>
  <si>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</si>
  <si>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</si>
  <si>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</si>
  <si>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</si>
  <si>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</si>
  <si>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</si>
  <si>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</si>
  <si>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</si>
  <si>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</si>
  <si>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</si>
  <si>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</si>
  <si>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</si>
  <si>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</si>
  <si>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</si>
  <si>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</si>
  <si>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</si>
  <si>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</si>
  <si>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</si>
  <si>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</si>
  <si>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</si>
  <si>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</si>
  <si>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</si>
  <si>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</si>
  <si>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</si>
  <si>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</si>
  <si>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</si>
  <si>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</si>
  <si>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</si>
  <si>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</si>
  <si>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</si>
  <si>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</si>
  <si>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</si>
  <si>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</si>
  <si>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</si>
  <si>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</si>
  <si>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</si>
  <si>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</si>
  <si>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</si>
  <si>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</si>
  <si>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</si>
  <si>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</si>
  <si>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</si>
  <si>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</si>
  <si>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</si>
  <si>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</si>
  <si>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</si>
  <si>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</si>
  <si>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</si>
  <si>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</si>
  <si>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</si>
  <si>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</si>
  <si>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</si>
  <si>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</si>
  <si>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</si>
  <si>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</si>
  <si>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</si>
  <si>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</si>
  <si>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</si>
  <si>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</si>
  <si>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</si>
  <si>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</si>
  <si>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</si>
  <si>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</si>
  <si>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</si>
  <si>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</si>
  <si>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</si>
  <si>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</si>
  <si>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</si>
  <si>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</si>
  <si>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</si>
  <si>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</si>
  <si>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</si>
  <si>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</si>
  <si>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</si>
  <si>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</si>
  <si>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</si>
  <si>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</si>
  <si>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</si>
  <si>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</si>
  <si>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</si>
  <si>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</si>
  <si>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</si>
  <si>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</si>
  <si>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</si>
  <si>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</si>
  <si>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</si>
  <si>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</si>
  <si>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</si>
  <si>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</si>
  <si>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</si>
  <si>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</si>
  <si>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</si>
  <si>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</si>
  <si>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</si>
  <si>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</si>
  <si>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</si>
  <si>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</si>
  <si>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</si>
  <si>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</si>
  <si>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</si>
  <si>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</si>
  <si>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</si>
  <si>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</si>
  <si>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</si>
  <si>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</si>
  <si>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</si>
  <si>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</si>
  <si>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</si>
  <si>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</si>
  <si>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</si>
  <si>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</si>
  <si>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</si>
  <si>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</si>
  <si>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</si>
  <si>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</si>
  <si>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</si>
  <si>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</si>
  <si>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</si>
  <si>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</si>
  <si>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</si>
  <si>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</si>
  <si>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</si>
  <si>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</si>
  <si>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</si>
  <si>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</si>
  <si>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</si>
  <si>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</si>
  <si>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</si>
  <si>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</si>
  <si>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</si>
  <si>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</si>
  <si>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</si>
  <si>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</si>
  <si>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</si>
  <si>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</si>
  <si>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</si>
  <si>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</si>
  <si>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</si>
  <si>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</si>
  <si>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</si>
  <si>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</si>
  <si>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</si>
  <si>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</si>
  <si>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</si>
  <si>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</si>
  <si>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</si>
  <si>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</si>
  <si>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</si>
  <si>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</si>
  <si>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</si>
  <si>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</si>
  <si>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</si>
  <si>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</si>
  <si>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</si>
  <si>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</si>
  <si>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</si>
  <si>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</si>
  <si>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</si>
  <si>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</si>
  <si>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</si>
  <si>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</si>
  <si>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</si>
  <si>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</si>
  <si>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</si>
  <si>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</si>
  <si>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</si>
  <si>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</si>
  <si>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</si>
  <si>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</si>
  <si>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</si>
  <si>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</si>
  <si>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</si>
  <si>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</si>
  <si>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</si>
  <si>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</si>
  <si>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</si>
  <si>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</si>
  <si>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</si>
  <si>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</si>
  <si>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</si>
  <si>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</si>
  <si>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</si>
  <si>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</si>
  <si>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</si>
  <si>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</si>
  <si>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</si>
  <si>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</si>
  <si>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</si>
  <si>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</si>
  <si>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</si>
  <si>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</si>
  <si>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</si>
  <si>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</si>
  <si>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</si>
  <si>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</si>
  <si>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</si>
  <si>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</si>
  <si>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</si>
  <si>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</si>
  <si>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</si>
  <si>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</si>
  <si>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</si>
  <si>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</si>
  <si>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</si>
  <si>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</si>
  <si>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</si>
  <si>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</si>
  <si>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</si>
  <si>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</si>
  <si>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</si>
  <si>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</si>
  <si>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</si>
  <si>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</si>
  <si>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</si>
  <si>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</si>
  <si>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</si>
  <si>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</si>
  <si>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</si>
  <si>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</si>
  <si>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</si>
  <si>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</si>
  <si>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</si>
  <si>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</si>
  <si>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</si>
  <si>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</si>
  <si>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</si>
  <si>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</si>
  <si>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</si>
  <si>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</si>
  <si>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</si>
  <si>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</si>
  <si>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</si>
  <si>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</si>
  <si>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</si>
  <si>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</si>
  <si>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</si>
  <si>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</si>
  <si>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</si>
  <si>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</si>
  <si>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</si>
  <si>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</si>
  <si>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</si>
  <si>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</si>
  <si>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</si>
  <si>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</si>
  <si>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</si>
  <si>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</si>
  <si>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</si>
  <si>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</si>
  <si>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</si>
  <si>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</si>
  <si>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</si>
  <si>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</si>
  <si>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</si>
  <si>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</si>
  <si>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</si>
  <si>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</si>
  <si>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</si>
  <si>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</si>
  <si>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</si>
  <si>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</si>
  <si>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</si>
  <si>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</si>
  <si>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</si>
  <si>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</si>
  <si>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</si>
  <si>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</si>
  <si>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</si>
  <si>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</si>
  <si>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</si>
  <si>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</si>
  <si>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</si>
  <si>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</si>
  <si>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</si>
  <si>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</si>
  <si>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</si>
  <si>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</si>
  <si>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</si>
  <si>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</si>
  <si>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</si>
  <si>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</si>
  <si>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</si>
  <si>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</si>
  <si>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</si>
  <si>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</si>
  <si>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</si>
  <si>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</si>
  <si>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</si>
  <si>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</si>
  <si>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</si>
  <si>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</si>
  <si>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</si>
  <si>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</si>
  <si>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</si>
  <si>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</si>
  <si>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</si>
  <si>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</si>
  <si>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</si>
  <si>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</si>
  <si>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</si>
  <si>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</si>
  <si>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</si>
  <si>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</si>
  <si>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</si>
  <si>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</si>
  <si>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</si>
  <si>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</si>
  <si>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</si>
  <si>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</si>
  <si>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</si>
  <si>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</si>
  <si>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</si>
  <si>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</si>
  <si>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</si>
  <si>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</si>
  <si>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</si>
  <si>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</si>
  <si>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</si>
  <si>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</si>
  <si>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</si>
  <si>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</si>
  <si>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</si>
  <si>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</si>
  <si>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</si>
  <si>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</si>
  <si>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</si>
  <si>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</si>
  <si>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</si>
  <si>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</si>
  <si>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</si>
  <si>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</si>
  <si>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</si>
  <si>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</si>
  <si>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</si>
  <si>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</si>
  <si>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</si>
  <si>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</si>
  <si>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</si>
  <si>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</si>
  <si>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</si>
  <si>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</si>
  <si>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</si>
  <si>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</si>
  <si>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</si>
  <si>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</si>
  <si>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</si>
  <si>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</si>
  <si>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</si>
  <si>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</si>
  <si>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</si>
  <si>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</si>
  <si>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</si>
  <si>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</si>
  <si>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</si>
  <si>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</si>
  <si>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</si>
  <si>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</si>
  <si>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</si>
  <si>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</si>
  <si>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</si>
  <si>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</si>
  <si>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</si>
  <si>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</si>
  <si>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</si>
  <si>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</si>
  <si>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</si>
  <si>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</si>
  <si>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</si>
  <si>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</si>
  <si>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</si>
  <si>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</si>
  <si>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</si>
  <si>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</si>
  <si>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</si>
  <si>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</si>
  <si>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</si>
  <si>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</si>
  <si>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</si>
  <si>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</si>
  <si>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</si>
  <si>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</si>
  <si>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</si>
  <si>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</si>
  <si>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</si>
  <si>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</si>
  <si>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</si>
  <si>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</si>
  <si>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</si>
  <si>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</si>
  <si>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</si>
  <si>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</si>
  <si>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</si>
  <si>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</si>
  <si>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</si>
  <si>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</si>
  <si>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</si>
  <si>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</si>
  <si>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</si>
  <si>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</si>
  <si>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</si>
  <si>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</si>
  <si>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</si>
  <si>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</si>
  <si>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</si>
  <si>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</si>
  <si>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</si>
  <si>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</si>
  <si>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</si>
  <si>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</si>
  <si>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</si>
  <si>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</si>
  <si>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</si>
  <si>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</si>
  <si>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</si>
  <si>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</si>
  <si>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</si>
  <si>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</si>
  <si>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</si>
  <si>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</si>
  <si>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</si>
  <si>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</si>
  <si>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</si>
  <si>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</si>
  <si>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</si>
  <si>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</si>
  <si>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</si>
  <si>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</si>
  <si>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</si>
  <si>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</si>
  <si>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</si>
  <si>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</si>
  <si>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</si>
  <si>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</si>
  <si>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</si>
  <si>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</si>
  <si>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</si>
  <si>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</si>
  <si>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</si>
  <si>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</si>
  <si>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</si>
  <si>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</si>
  <si>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</si>
  <si>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</si>
  <si>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</si>
  <si>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</si>
  <si>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</si>
  <si>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</si>
  <si>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</si>
  <si>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</si>
  <si>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</si>
  <si>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</si>
  <si>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</si>
  <si>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</si>
  <si>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</si>
  <si>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</si>
  <si>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</si>
  <si>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</si>
  <si>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</si>
  <si>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</si>
  <si>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</si>
  <si>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</si>
  <si>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</si>
  <si>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</si>
  <si>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</si>
  <si>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</si>
  <si>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</si>
  <si>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</si>
  <si>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</si>
  <si>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</si>
  <si>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</si>
  <si>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</si>
  <si>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</si>
  <si>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</si>
  <si>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</si>
  <si>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</si>
  <si>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</si>
  <si>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</si>
  <si>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</si>
  <si>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</si>
  <si>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</si>
  <si>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</si>
  <si>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</si>
  <si>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</si>
  <si>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</si>
  <si>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</si>
  <si>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</si>
  <si>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</si>
  <si>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</si>
  <si>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</si>
  <si>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</si>
  <si>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</si>
  <si>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</si>
  <si>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</si>
  <si>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</si>
  <si>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</si>
  <si>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</si>
  <si>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</si>
  <si>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</si>
  <si>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</si>
  <si>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</si>
  <si>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</si>
  <si>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</si>
  <si>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</si>
  <si>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</si>
  <si>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</si>
  <si>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</si>
  <si>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</si>
  <si>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</si>
  <si>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</si>
  <si>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</si>
  <si>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</si>
  <si>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</si>
  <si>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</si>
  <si>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</si>
  <si>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</si>
  <si>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</si>
  <si>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</si>
  <si>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</si>
  <si>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</si>
  <si>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</si>
  <si>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</si>
  <si>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</si>
  <si>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</si>
  <si>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</si>
  <si>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</si>
  <si>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</si>
  <si>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</si>
  <si>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</si>
  <si>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</si>
  <si>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</si>
  <si>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</si>
  <si>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</si>
  <si>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</si>
  <si>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</si>
  <si>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</si>
  <si>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</si>
  <si>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</si>
  <si>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</si>
  <si>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</si>
  <si>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</si>
  <si>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</si>
  <si>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</si>
  <si>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</si>
  <si>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</si>
  <si>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</si>
  <si>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</si>
  <si>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</si>
  <si>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</si>
  <si>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</si>
  <si>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</si>
  <si>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</si>
  <si>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</si>
  <si>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</si>
  <si>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</si>
  <si>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</si>
  <si>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</si>
  <si>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</si>
  <si>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</si>
  <si>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</si>
  <si>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</si>
  <si>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</si>
  <si>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</si>
  <si>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</si>
  <si>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</si>
  <si>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</si>
  <si>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</si>
  <si>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</si>
  <si>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</si>
  <si>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</si>
  <si>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</si>
  <si>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</si>
  <si>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</si>
  <si>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</si>
  <si>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</si>
  <si>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</si>
  <si>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</si>
  <si>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</si>
  <si>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</si>
  <si>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</si>
  <si>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</si>
  <si>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</si>
  <si>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</si>
  <si>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</si>
  <si>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</si>
  <si>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</si>
  <si>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</si>
  <si>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</si>
  <si>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</si>
  <si>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</si>
  <si>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</si>
  <si>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</si>
  <si>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</si>
  <si>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</si>
  <si>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</si>
  <si>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</si>
  <si>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</si>
  <si>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</si>
  <si>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</si>
  <si>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</si>
  <si>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</si>
  <si>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</si>
  <si>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</si>
  <si>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</si>
  <si>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</si>
  <si>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</si>
  <si>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</si>
  <si>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</si>
  <si>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</si>
  <si>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</si>
  <si>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</si>
  <si>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</si>
  <si>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</si>
  <si>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</si>
  <si>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</si>
  <si>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</si>
  <si>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</si>
  <si>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</si>
  <si>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</si>
  <si>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</si>
  <si>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</si>
  <si>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</si>
  <si>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</si>
  <si>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</si>
  <si>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</si>
  <si>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</si>
  <si>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</si>
  <si>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</si>
  <si>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</si>
  <si>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</si>
  <si>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</si>
  <si>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</si>
  <si>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</si>
  <si>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</si>
  <si>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</si>
  <si>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</si>
  <si>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</si>
  <si>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</si>
  <si>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</si>
  <si>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</si>
  <si>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</si>
  <si>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</si>
  <si>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</si>
  <si>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</si>
  <si>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</si>
  <si>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</si>
  <si>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</si>
  <si>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</si>
  <si>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</si>
  <si>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</si>
  <si>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</si>
  <si>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</si>
  <si>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</si>
  <si>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</si>
  <si>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</si>
  <si>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</si>
  <si>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</si>
  <si>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</si>
  <si>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</si>
  <si>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</si>
  <si>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</si>
  <si>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</si>
  <si>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</si>
  <si>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</si>
  <si>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</si>
  <si>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</si>
  <si>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</si>
  <si>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</si>
  <si>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</si>
  <si>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</si>
  <si>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</si>
  <si>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</si>
  <si>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</si>
  <si>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</si>
  <si>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</si>
  <si>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</si>
  <si>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</si>
  <si>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</si>
  <si>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</si>
  <si>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</si>
  <si>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</si>
  <si>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</si>
  <si>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</si>
  <si>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</si>
  <si>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</si>
  <si>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</si>
  <si>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</si>
  <si>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</si>
  <si>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</si>
  <si>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</si>
  <si>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</si>
  <si>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</si>
  <si>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</si>
  <si>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</si>
  <si>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</si>
  <si>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</si>
  <si>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</si>
  <si>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</si>
  <si>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</si>
  <si>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</si>
  <si>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</si>
  <si>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</si>
  <si>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</si>
  <si>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</si>
  <si>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</si>
  <si>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</si>
  <si>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</si>
  <si>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</si>
  <si>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</si>
  <si>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</si>
  <si>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</si>
  <si>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</si>
  <si>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</si>
  <si>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</si>
  <si>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</si>
  <si>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</si>
  <si>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</si>
  <si>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</si>
  <si>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</si>
  <si>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</si>
  <si>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</si>
  <si>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</si>
  <si>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</si>
  <si>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</si>
  <si>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</si>
  <si>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</si>
  <si>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</si>
  <si>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</si>
  <si>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</si>
  <si>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</si>
  <si>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</si>
  <si>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</si>
  <si>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</si>
  <si>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</si>
  <si>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</si>
  <si>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</si>
  <si>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</si>
  <si>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</si>
  <si>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</si>
  <si>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</si>
  <si>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</si>
  <si>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</si>
  <si>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</si>
  <si>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</si>
  <si>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</si>
  <si>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</si>
  <si>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</si>
  <si>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</si>
  <si>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</si>
  <si>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</si>
  <si>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</si>
  <si>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</si>
  <si>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</si>
  <si>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</si>
  <si>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</si>
  <si>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</si>
  <si>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</si>
  <si>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</si>
  <si>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</si>
  <si>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</si>
  <si>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</si>
  <si>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</si>
  <si>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</si>
  <si>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</si>
  <si>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</si>
  <si>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</si>
  <si>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</si>
  <si>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</si>
  <si>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</si>
  <si>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</si>
  <si>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</si>
  <si>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</si>
  <si>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</si>
  <si>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</si>
  <si>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</si>
  <si>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</si>
  <si>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</si>
  <si>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</si>
  <si>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</si>
  <si>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</si>
  <si>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</si>
  <si>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</si>
  <si>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</si>
  <si>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</si>
  <si>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</si>
  <si>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</si>
  <si>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</si>
  <si>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</si>
  <si>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</si>
  <si>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</si>
  <si>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</si>
  <si>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</si>
  <si>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</si>
  <si>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</si>
  <si>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</si>
  <si>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</si>
  <si>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</si>
  <si>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</si>
  <si>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</si>
  <si>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</si>
  <si>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</si>
  <si>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</si>
  <si>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</si>
  <si>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</si>
  <si>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</si>
  <si>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</si>
  <si>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</si>
  <si>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</si>
  <si>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</si>
  <si>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</si>
  <si>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</si>
  <si>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</si>
  <si>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</si>
  <si>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</si>
  <si>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</si>
  <si>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</si>
  <si>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</si>
  <si>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</si>
  <si>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</si>
  <si>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</si>
  <si>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</si>
  <si>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</si>
  <si>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</si>
  <si>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</si>
  <si>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</si>
  <si>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</si>
  <si>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</si>
  <si>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</si>
  <si>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</si>
  <si>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</si>
  <si>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</si>
  <si>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</si>
  <si>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</si>
  <si>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</si>
  <si>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</si>
  <si>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</si>
  <si>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</si>
  <si>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</si>
  <si>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</si>
  <si>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</si>
  <si>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</si>
  <si>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</si>
  <si>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</si>
  <si>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</si>
  <si>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</si>
  <si>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</si>
  <si>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</si>
  <si>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</si>
  <si>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</si>
  <si>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</si>
  <si>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</si>
  <si>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</si>
  <si>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</si>
  <si>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</si>
  <si>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</si>
  <si>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</si>
  <si>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</si>
  <si>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</si>
  <si>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</si>
  <si>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</si>
  <si>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</si>
  <si>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</si>
  <si>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</si>
  <si>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</si>
  <si>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</si>
  <si>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</si>
  <si>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</si>
  <si>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</si>
  <si>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</si>
  <si>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</si>
  <si>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</si>
  <si>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</si>
  <si>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</si>
  <si>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</si>
  <si>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</si>
  <si>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</si>
  <si>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</si>
  <si>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</si>
  <si>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</si>
  <si>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</si>
  <si>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</si>
  <si>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</si>
  <si>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</si>
  <si>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</si>
  <si>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</si>
  <si>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</si>
  <si>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</si>
  <si>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</si>
  <si>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</si>
  <si>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</si>
  <si>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</si>
  <si>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</si>
  <si>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</si>
  <si>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</si>
  <si>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</si>
  <si>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</si>
  <si>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</si>
  <si>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</si>
  <si>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</si>
  <si>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</si>
  <si>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</si>
  <si>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</si>
  <si>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</si>
  <si>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</si>
  <si>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</si>
  <si>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</si>
  <si>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</si>
  <si>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</si>
  <si>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</si>
  <si>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</si>
  <si>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</si>
  <si>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</si>
  <si>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</si>
  <si>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</si>
  <si>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</si>
  <si>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</si>
  <si>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</si>
  <si>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</si>
  <si>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</si>
  <si>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</si>
  <si>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</si>
  <si>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</si>
  <si>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</si>
  <si>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</si>
  <si>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</si>
  <si>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</si>
  <si>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</si>
  <si>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</si>
  <si>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</si>
  <si>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</si>
  <si>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</si>
  <si>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</si>
  <si>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</si>
  <si>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</si>
  <si>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</si>
  <si>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</si>
  <si>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</si>
  <si>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</si>
  <si>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</si>
  <si>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</si>
  <si>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</si>
  <si>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</si>
  <si>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</si>
  <si>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</si>
  <si>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</si>
  <si>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</si>
  <si>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</si>
  <si>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</si>
  <si>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</si>
  <si>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</si>
  <si>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</si>
  <si>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</si>
  <si>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</si>
  <si>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</si>
  <si>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</si>
  <si>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</si>
  <si>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</si>
  <si>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</si>
  <si>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</si>
  <si>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</si>
  <si>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</si>
  <si>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</si>
  <si>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</si>
  <si>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서보민, 금상원,신현빈</t>
  </si>
  <si>
    <t>웹 서버 구축</t>
  </si>
  <si>
    <t>메인페이지</t>
  </si>
  <si>
    <t>제품소개</t>
  </si>
  <si>
    <t>MQTT 서버 구축</t>
  </si>
  <si>
    <t>웹·MQTT 서버 설정</t>
  </si>
  <si>
    <t>서버-rds(MySQL) 연동</t>
  </si>
  <si>
    <t>서버-Storage S3 연동</t>
  </si>
  <si>
    <t>2.3.1.2.3.1.1</t>
  </si>
  <si>
    <t>2.3.1.2.3.1.2</t>
  </si>
  <si>
    <t>2.3.1.2.3.1.3</t>
  </si>
  <si>
    <t>2.3.1.2.3.1.4</t>
  </si>
  <si>
    <t>2.3.1.2.3.1.5</t>
  </si>
  <si>
    <t>2.3.1.2.3.1.6</t>
  </si>
  <si>
    <t>2.3.1.2.3.1.7</t>
  </si>
  <si>
    <t>2.3.1.2.3.1.8</t>
  </si>
  <si>
    <t>2.3.1.2.3.1.9</t>
  </si>
  <si>
    <t>2.3.1.2.3.1.10</t>
  </si>
  <si>
    <t>2.3.1.2.3.1.11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</si>
</sst>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41" fillId="0" borderId="14" xfId="0" applyFont="1" applyBorder="1" applyAlignment="1" applyProtection="1">
      <alignment horizontal="left" vertical="top"/>
      <protection locked="0"/>
    </xf>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0" fontId="39" fillId="0" borderId="14" xfId="0" applyFont="1" applyBorder="1" applyAlignment="1" applyProtection="1">
      <alignment horizontal="left" vertical="top"/>
      <protection locked="0"/>
    </xf>
    <xf numFmtId="0" fontId="9" fillId="0" borderId="14" xfId="0" applyFont="1" applyBorder="1" applyAlignment="1" applyProtection="1">
      <alignment horizontal="left" vertical="top"/>
      <protection locked="0"/>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2">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1"/>
      <tableStyleElement type="headerRow" dxfId="10"/>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0"/>
  <sheetViews>
    <sheetView tabSelected="1" topLeftCell="D1" zoomScale="115" zoomScaleNormal="115" zoomScalePageLayoutView="55" workbookViewId="0">
      <pane ySplit="4" topLeftCell="A73" activePane="bottomLeft" state="frozen"/>
      <selection activeCell="D1" sqref="D1"/>
      <selection pane="bottomLeft" activeCell="D5" sqref="D5"/>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[계획:50.11% 실적:0.00%]</v>
      </c>
      <c r="AC1" s="213" t="s">
        <v>1158</v>
      </c>
      <c r="AD1" s="213"/>
      <c r="AE1" s="213"/>
      <c r="AF1" s="213"/>
      <c r="AG1" s="213"/>
      <c r="AH1" s="213"/>
      <c r="AI1" s="213"/>
      <c r="AJ1" s="213"/>
      <c r="AK1" s="213"/>
      <c r="AL1" s="213"/>
      <c r="AM1" s="213"/>
      <c r="AN1" s="213"/>
      <c r="AO1" s="213"/>
      <c r="AP1" s="213"/>
      <c r="AQ1" s="213"/>
      <c r="AR1" s="213"/>
      <c r="AS1" s="213"/>
      <c r="AT1" s="213"/>
      <c r="AU1" s="213"/>
      <c r="AV1" s="213"/>
      <c r="AW1" s="213"/>
      <c r="AX1" s="213"/>
      <c r="AY1" s="213"/>
      <c r="AZ1" s="213"/>
      <c r="BA1" s="213"/>
      <c r="BB1" s="213"/>
      <c r="BC1" s="213"/>
      <c r="BD1" s="213"/>
      <c r="BE1" s="213"/>
      <c r="BF1" s="213"/>
      <c r="BG1" s="213"/>
      <c r="BH1" s="213"/>
      <c r="BI1" s="213"/>
      <c r="BJ1" s="213"/>
      <c r="BK1" s="213"/>
      <c r="BL1" s="213"/>
      <c r="BM1" s="213"/>
      <c r="BN1" s="213"/>
      <c r="BO1" s="213"/>
      <c r="BP1" s="213"/>
      <c r="BQ1" s="213"/>
      <c r="BR1" s="213"/>
      <c r="BS1" s="213"/>
      <c r="BT1" s="213"/>
      <c r="BU1" s="213"/>
      <c r="BV1" s="213"/>
      <c r="BW1" s="213"/>
      <c r="BX1" s="213"/>
      <c r="BY1" s="213"/>
      <c r="BZ1" s="213"/>
      <c r="CA1" s="213"/>
    </row>
    <row r="2" spans="1:246" s="204" customFormat="1" ht="15" customHeight="1">
      <c r="A2" s="185"/>
      <c r="B2" s="185"/>
      <c r="C2" s="186"/>
      <c r="D2" s="227"/>
      <c r="E2" s="227"/>
      <c r="F2" s="227"/>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15" t="s">
        <v>1076</v>
      </c>
      <c r="B3" s="216" t="s">
        <v>1077</v>
      </c>
      <c r="C3" s="217" t="s">
        <v>1050</v>
      </c>
      <c r="D3" s="218" t="s">
        <v>1066</v>
      </c>
      <c r="E3" s="219" t="s">
        <v>1071</v>
      </c>
      <c r="F3" s="220"/>
      <c r="G3" s="220"/>
      <c r="H3" s="220"/>
      <c r="I3" s="220"/>
      <c r="J3" s="220"/>
      <c r="K3" s="220"/>
      <c r="L3" s="231" t="s">
        <v>1067</v>
      </c>
      <c r="M3" s="231" t="s">
        <v>1073</v>
      </c>
      <c r="N3" s="231" t="s">
        <v>1072</v>
      </c>
      <c r="O3" s="216" t="s">
        <v>995</v>
      </c>
      <c r="P3" s="229" t="s">
        <v>1068</v>
      </c>
      <c r="Q3" s="229" t="s">
        <v>1070</v>
      </c>
      <c r="R3" s="229" t="s">
        <v>1043</v>
      </c>
      <c r="S3" s="229" t="s">
        <v>1051</v>
      </c>
      <c r="T3" s="230" t="s">
        <v>1078</v>
      </c>
      <c r="U3" s="230" t="s">
        <v>1031</v>
      </c>
      <c r="V3" s="232" t="s">
        <v>1079</v>
      </c>
      <c r="W3" s="228" t="s">
        <v>1065</v>
      </c>
      <c r="X3" s="225" t="s">
        <v>1052</v>
      </c>
      <c r="Y3" s="216" t="s">
        <v>1074</v>
      </c>
      <c r="Z3" s="216" t="s">
        <v>1080</v>
      </c>
      <c r="AA3" s="221" t="s">
        <v>873</v>
      </c>
      <c r="AB3" s="223" t="s">
        <v>1032</v>
      </c>
      <c r="AC3" s="226">
        <v>43415</v>
      </c>
      <c r="AD3" s="214"/>
      <c r="AE3" s="214"/>
      <c r="AF3" s="214"/>
      <c r="AG3" s="214"/>
      <c r="AH3" s="214"/>
      <c r="AI3" s="214"/>
      <c r="AJ3" s="214">
        <v>43422</v>
      </c>
      <c r="AK3" s="214"/>
      <c r="AL3" s="214"/>
      <c r="AM3" s="214"/>
      <c r="AN3" s="214"/>
      <c r="AO3" s="214"/>
      <c r="AP3" s="214"/>
      <c r="AQ3" s="214">
        <v>43429</v>
      </c>
      <c r="AR3" s="214"/>
      <c r="AS3" s="214"/>
      <c r="AT3" s="214"/>
      <c r="AU3" s="214"/>
      <c r="AV3" s="214"/>
      <c r="AW3" s="214"/>
      <c r="AX3" s="214">
        <v>43436</v>
      </c>
      <c r="AY3" s="214"/>
      <c r="AZ3" s="214"/>
      <c r="BA3" s="214"/>
      <c r="BB3" s="214"/>
      <c r="BC3" s="214"/>
      <c r="BD3" s="214"/>
      <c r="BE3" s="214">
        <v>43443</v>
      </c>
      <c r="BF3" s="214"/>
      <c r="BG3" s="214"/>
      <c r="BH3" s="214"/>
      <c r="BI3" s="214"/>
      <c r="BJ3" s="214"/>
      <c r="BK3" s="214"/>
      <c r="BL3" s="214">
        <v>43450</v>
      </c>
      <c r="BM3" s="214"/>
      <c r="BN3" s="214"/>
      <c r="BO3" s="214"/>
      <c r="BP3" s="214"/>
      <c r="BQ3" s="214"/>
      <c r="BR3" s="214"/>
      <c r="BS3" s="214">
        <v>43457</v>
      </c>
      <c r="BT3" s="214"/>
      <c r="BU3" s="214"/>
      <c r="BV3" s="214"/>
      <c r="BW3" s="214"/>
      <c r="BX3" s="214"/>
      <c r="BY3" s="214"/>
      <c r="BZ3" s="214">
        <v>43464</v>
      </c>
      <c r="CA3" s="214"/>
      <c r="CB3" s="214"/>
      <c r="CC3" s="214"/>
      <c r="CD3" s="214"/>
      <c r="CE3" s="214"/>
      <c r="CF3" s="214"/>
      <c r="CG3" s="214">
        <v>43471</v>
      </c>
      <c r="CH3" s="214"/>
      <c r="CI3" s="214"/>
      <c r="CJ3" s="214"/>
      <c r="CK3" s="214"/>
      <c r="CL3" s="214"/>
      <c r="CM3" s="214"/>
      <c r="CN3" s="214">
        <v>43478</v>
      </c>
      <c r="CO3" s="214"/>
      <c r="CP3" s="214"/>
      <c r="CQ3" s="214"/>
      <c r="CR3" s="214"/>
      <c r="CS3" s="214"/>
      <c r="CT3" s="214"/>
      <c r="CU3" s="214">
        <v>43485</v>
      </c>
      <c r="CV3" s="214"/>
      <c r="CW3" s="214"/>
      <c r="CX3" s="214"/>
      <c r="CY3" s="214"/>
      <c r="CZ3" s="214"/>
      <c r="DA3" s="214"/>
      <c r="DB3" s="214">
        <v>43492</v>
      </c>
      <c r="DC3" s="214"/>
      <c r="DD3" s="214"/>
      <c r="DE3" s="214"/>
      <c r="DF3" s="214"/>
      <c r="DG3" s="214"/>
      <c r="DH3" s="214"/>
      <c r="DI3" s="214">
        <v>43499</v>
      </c>
      <c r="DJ3" s="214"/>
      <c r="DK3" s="214"/>
      <c r="DL3" s="214"/>
      <c r="DM3" s="214"/>
      <c r="DN3" s="214"/>
      <c r="DO3" s="214"/>
      <c r="DP3" s="214">
        <v>43506</v>
      </c>
      <c r="DQ3" s="214"/>
      <c r="DR3" s="214"/>
      <c r="DS3" s="214"/>
      <c r="DT3" s="214"/>
      <c r="DU3" s="214"/>
      <c r="DV3" s="214"/>
      <c r="DW3" s="214">
        <v>43513</v>
      </c>
      <c r="DX3" s="214"/>
      <c r="DY3" s="214"/>
      <c r="DZ3" s="214"/>
      <c r="EA3" s="214"/>
      <c r="EB3" s="214"/>
      <c r="EC3" s="214"/>
      <c r="ED3" s="214">
        <v>43520</v>
      </c>
      <c r="EE3" s="214"/>
      <c r="EF3" s="214"/>
      <c r="EG3" s="214"/>
      <c r="EH3" s="214"/>
      <c r="EI3" s="214"/>
      <c r="EJ3" s="214"/>
      <c r="EK3" s="214">
        <v>43527</v>
      </c>
      <c r="EL3" s="214"/>
      <c r="EM3" s="214"/>
      <c r="EN3" s="214"/>
      <c r="EO3" s="214"/>
      <c r="EP3" s="214"/>
      <c r="EQ3" s="214"/>
      <c r="ER3" s="214">
        <v>43534</v>
      </c>
      <c r="ES3" s="214"/>
      <c r="ET3" s="214"/>
      <c r="EU3" s="214"/>
      <c r="EV3" s="214"/>
      <c r="EW3" s="214"/>
      <c r="EX3" s="214"/>
      <c r="EY3" s="214">
        <v>43541</v>
      </c>
      <c r="EZ3" s="214"/>
      <c r="FA3" s="214"/>
      <c r="FB3" s="214"/>
      <c r="FC3" s="214"/>
      <c r="FD3" s="214"/>
      <c r="FE3" s="214"/>
      <c r="FF3" s="214">
        <v>43548</v>
      </c>
      <c r="FG3" s="214"/>
      <c r="FH3" s="214"/>
      <c r="FI3" s="214"/>
      <c r="FJ3" s="214"/>
      <c r="FK3" s="214"/>
      <c r="FL3" s="214"/>
      <c r="FM3" s="214">
        <v>43555</v>
      </c>
      <c r="FN3" s="214"/>
      <c r="FO3" s="214"/>
      <c r="FP3" s="214"/>
      <c r="FQ3" s="214"/>
      <c r="FR3" s="214"/>
      <c r="FS3" s="214"/>
      <c r="FT3" s="214">
        <v>43562</v>
      </c>
      <c r="FU3" s="214"/>
      <c r="FV3" s="214"/>
      <c r="FW3" s="214"/>
      <c r="FX3" s="214"/>
      <c r="FY3" s="214"/>
      <c r="FZ3" s="214"/>
      <c r="GA3" s="214">
        <v>43569</v>
      </c>
      <c r="GB3" s="214"/>
      <c r="GC3" s="214"/>
      <c r="GD3" s="214"/>
      <c r="GE3" s="214"/>
      <c r="GF3" s="214"/>
      <c r="GG3" s="214"/>
      <c r="GH3" s="214">
        <v>43576</v>
      </c>
      <c r="GI3" s="214"/>
      <c r="GJ3" s="214"/>
      <c r="GK3" s="214"/>
      <c r="GL3" s="214"/>
      <c r="GM3" s="214"/>
      <c r="GN3" s="214"/>
      <c r="GO3" s="214">
        <v>43583</v>
      </c>
      <c r="GP3" s="214"/>
      <c r="GQ3" s="214"/>
      <c r="GR3" s="214"/>
      <c r="GS3" s="214"/>
      <c r="GT3" s="214"/>
      <c r="GU3" s="214"/>
      <c r="GV3" s="214">
        <v>43590</v>
      </c>
      <c r="GW3" s="214"/>
      <c r="GX3" s="214"/>
      <c r="GY3" s="214"/>
      <c r="GZ3" s="214"/>
      <c r="HA3" s="214"/>
      <c r="HB3" s="214"/>
      <c r="HC3" s="214">
        <v>43597</v>
      </c>
      <c r="HD3" s="214"/>
      <c r="HE3" s="214"/>
      <c r="HF3" s="214"/>
      <c r="HG3" s="214"/>
      <c r="HH3" s="214"/>
      <c r="HI3" s="214"/>
      <c r="HJ3" s="214">
        <v>43604</v>
      </c>
      <c r="HK3" s="214"/>
      <c r="HL3" s="214"/>
      <c r="HM3" s="214"/>
      <c r="HN3" s="214"/>
      <c r="HO3" s="214"/>
      <c r="HP3" s="214"/>
      <c r="HQ3" s="214">
        <v>43611</v>
      </c>
      <c r="HR3" s="214"/>
      <c r="HS3" s="214"/>
      <c r="HT3" s="214"/>
      <c r="HU3" s="214"/>
      <c r="HV3" s="214"/>
      <c r="HW3" s="214"/>
      <c r="HX3" s="214">
        <v>43618</v>
      </c>
      <c r="HY3" s="214"/>
      <c r="HZ3" s="214"/>
      <c r="IA3" s="214"/>
      <c r="IB3" s="214"/>
      <c r="IC3" s="214"/>
      <c r="ID3" s="214"/>
      <c r="IE3" s="214">
        <v>43625</v>
      </c>
      <c r="IF3" s="214"/>
      <c r="IG3" s="214"/>
      <c r="IH3" s="214"/>
      <c r="II3" s="214"/>
      <c r="IJ3" s="214"/>
      <c r="IK3" s="233"/>
    </row>
    <row r="4" spans="1:246" s="134" customFormat="1" ht="5.0999999999999996" customHeight="1">
      <c r="A4" s="215"/>
      <c r="B4" s="216"/>
      <c r="C4" s="217"/>
      <c r="D4" s="218"/>
      <c r="E4" s="219"/>
      <c r="F4" s="220"/>
      <c r="G4" s="220"/>
      <c r="H4" s="220"/>
      <c r="I4" s="220"/>
      <c r="J4" s="220"/>
      <c r="K4" s="220"/>
      <c r="L4" s="231"/>
      <c r="M4" s="231"/>
      <c r="N4" s="231"/>
      <c r="O4" s="216"/>
      <c r="P4" s="229"/>
      <c r="Q4" s="229"/>
      <c r="R4" s="229"/>
      <c r="S4" s="229"/>
      <c r="T4" s="231"/>
      <c r="U4" s="231"/>
      <c r="V4" s="232"/>
      <c r="W4" s="228"/>
      <c r="X4" s="225"/>
      <c r="Y4" s="216"/>
      <c r="Z4" s="216"/>
      <c r="AA4" s="222"/>
      <c r="AB4" s="224"/>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858</v>
      </c>
      <c r="Q21" s="149">
        <v>426</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0.49650349650349651</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695</v>
      </c>
      <c r="Q36" s="149">
        <v>280</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0.40287769784172661</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43623</v>
      </c>
      <c r="O37" s="148"/>
      <c r="P37" s="149">
        <v>681</v>
      </c>
      <c r="Q37" s="149">
        <v>280</v>
      </c>
      <c r="R37" s="150">
        <f ca="1">IF(M37="","0",(N37-M37+1)-COUNTIFS(INDIRECT(getCalendarRange(O37)),"&gt;=" &amp; M37,INDIRECT(getCalendarRange(O37)),"&lt;=" &amp; N37))</f>
        <v>127</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0.41116005873715122</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2/1-6/7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43623</v>
      </c>
      <c r="O39" s="148"/>
      <c r="P39" s="149">
        <v>679</v>
      </c>
      <c r="Q39" s="149">
        <v>278</v>
      </c>
      <c r="R39" s="150">
        <f ca="1">IF(M39="","0",(N39-M39+1)-COUNTIFS(INDIRECT(getCalendarRange(O39)),"&gt;=" &amp; M39,INDIRECT(getCalendarRange(O39)),"&lt;=" &amp; N39))</f>
        <v>127</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0.40942562592047127</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2/1-6/7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f ca="1">IF(M40="","0",(N40-M40+1)-COUNTIFS(INDIRECT(getCalendarRange(O40)),"&gt;=" &amp; M40,INDIRECT(getCalendarRange(O40)),"&lt;=" &amp; N40))</f>
        <v>83</v>
      </c>
      <c r="S40" s="150">
        <f ca="1">IF(M40&gt;TODAY(),0,IF(N40&lt;TODAY(),R40,(TODAY()-M40+1)-COUNTIFS(INDIRECT(getCalendarRange(O40)),"&gt;=" &amp; M40,INDIRECT(getCalendarRange(O40)),"&lt;=" &amp; TODAY())))</f>
        <v>40</v>
      </c>
      <c r="T40" s="126"/>
      <c r="U40" s="126"/>
      <c r="V40" s="151">
        <v>0</v>
      </c>
      <c r="W40" s="152" t="str">
        <f ca="1">IF(U40="","0",IF(T40="","0",(U40-T40+1)-COUNTIFS(INDIRECT(getCalendarRange(O40)),"&gt;=" &amp; T40,INDIRECT(getCalendarRange(O40)),"&lt;=" &amp; U40)))</f>
        <v>0</v>
      </c>
      <c r="X40" s="153"/>
      <c r="Y40" s="183" t="s">
        <v>1172</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f ca="1">IF(M41="","0",(N41-M41+1)-COUNTIFS(INDIRECT(getCalendarRange(O41)),"&gt;=" &amp; M41,INDIRECT(getCalendarRange(O41)),"&lt;=" &amp; N41))</f>
        <v>20</v>
      </c>
      <c r="S41" s="150">
        <f ca="1">IF(M41&gt;TODAY(),0,IF(N41&lt;TODAY(),R41,(TODAY()-M41+1)-COUNTIFS(INDIRECT(getCalendarRange(O41)),"&gt;=" &amp; M41,INDIRECT(getCalendarRange(O41)),"&lt;=" &amp; TODAY())))</f>
        <v>20</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f ca="1">IF(M42="","0",(N42-M42+1)-COUNTIFS(INDIRECT(getCalendarRange(O42)),"&gt;=" &amp; M42,INDIRECT(getCalendarRange(O42)),"&lt;=" &amp; N42))</f>
        <v>15</v>
      </c>
      <c r="S42" s="150">
        <f ca="1">IF(M42&gt;TODAY(),0,IF(N42&lt;TODAY(),R42,(TODAY()-M42+1)-COUNTIFS(INDIRECT(getCalendarRange(O42)),"&gt;=" &amp; M42,INDIRECT(getCalendarRange(O42)),"&lt;=" &amp; TODAY())))</f>
        <v>15</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f ca="1">IF(M43="","0",(N43-M43+1)-COUNTIFS(INDIRECT(getCalendarRange(O43)),"&gt;=" &amp; M43,INDIRECT(getCalendarRange(O43)),"&lt;=" &amp; N43))</f>
        <v>44</v>
      </c>
      <c r="S43" s="150">
        <f ca="1">IF(M43&gt;TODAY(),0,IF(N43&lt;TODAY(),R43,(TODAY()-M43+1)-COUNTIFS(INDIRECT(getCalendarRange(O43)),"&gt;=" &amp; M43,INDIRECT(getCalendarRange(O43)),"&lt;=" &amp; TODAY())))</f>
        <v>32</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f ca="1">IF(M44="","0",(N44-M44+1)-COUNTIFS(INDIRECT(getCalendarRange(O44)),"&gt;=" &amp; M44,INDIRECT(getCalendarRange(O44)),"&lt;=" &amp; N44))</f>
        <v>15</v>
      </c>
      <c r="S44" s="150">
        <f ca="1">IF(M44&gt;TODAY(),0,IF(N44&lt;TODAY(),R44,(TODAY()-M44+1)-COUNTIFS(INDIRECT(getCalendarRange(O44)),"&gt;=" &amp; M44,INDIRECT(getCalendarRange(O44)),"&lt;=" &amp; TODAY())))</f>
        <v>15</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f ca="1">IF(M45="","0",(N45-M45+1)-COUNTIFS(INDIRECT(getCalendarRange(O45)),"&gt;=" &amp; M45,INDIRECT(getCalendarRange(O45)),"&lt;=" &amp; N45))</f>
        <v>21</v>
      </c>
      <c r="S45" s="150">
        <f ca="1">IF(M45&gt;TODAY(),0,IF(N45&lt;TODAY(),R45,(TODAY()-M45+1)-COUNTIFS(INDIRECT(getCalendarRange(O45)),"&gt;=" &amp; M45,INDIRECT(getCalendarRange(O45)),"&lt;=" &amp; TODAY())))</f>
        <v>21</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f ca="1">IF(M46="","0",(N46-M46+1)-COUNTIFS(INDIRECT(getCalendarRange(O46)),"&gt;=" &amp; M46,INDIRECT(getCalendarRange(O46)),"&lt;=" &amp; N46))</f>
        <v>32</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f ca="1">IF(M47="","0",(N47-M47+1)-COUNTIFS(INDIRECT(getCalendarRange(O47)),"&gt;=" &amp; M47,INDIRECT(getCalendarRange(O47)),"&lt;=" &amp; N47))</f>
        <v>72</v>
      </c>
      <c r="S47" s="150">
        <f ca="1">IF(M47&gt;TODAY(),0,IF(N47&lt;TODAY(),R47,(TODAY()-M47+1)-COUNTIFS(INDIRECT(getCalendarRange(O47)),"&gt;=" &amp; M47,INDIRECT(getCalendarRange(O47)),"&lt;=" &amp; TODAY())))</f>
        <v>28</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f ca="1">IF(M48="","0",(N48-M48+1)-COUNTIFS(INDIRECT(getCalendarRange(O48)),"&gt;=" &amp; M48,INDIRECT(getCalendarRange(O48)),"&lt;=" &amp; N48))</f>
        <v>21</v>
      </c>
      <c r="S48" s="150">
        <f ca="1">IF(M48&gt;TODAY(),0,IF(N48&lt;TODAY(),R48,(TODAY()-M48+1)-COUNTIFS(INDIRECT(getCalendarRange(O48)),"&gt;=" &amp; M48,INDIRECT(getCalendarRange(O48)),"&lt;=" &amp; TODAY())))</f>
        <v>21</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f ca="1">IF(M49="","0",(N49-M49+1)-COUNTIFS(INDIRECT(getCalendarRange(O49)),"&gt;=" &amp; M49,INDIRECT(getCalendarRange(O49)),"&lt;=" &amp; N49))</f>
        <v>5</v>
      </c>
      <c r="S49" s="150">
        <f ca="1">IF(M49&gt;TODAY(),0,IF(N49&lt;TODAY(),R49,(TODAY()-M49+1)-COUNTIFS(INDIRECT(getCalendarRange(O49)),"&gt;=" &amp; M49,INDIRECT(getCalendarRange(O49)),"&lt;=" &amp; TODAY())))</f>
        <v>5</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f ca="1">IF(M50="","0",(N50-M50+1)-COUNTIFS(INDIRECT(getCalendarRange(O50)),"&gt;=" &amp; M50,INDIRECT(getCalendarRange(O50)),"&lt;=" &amp; N50))</f>
        <v>6</v>
      </c>
      <c r="S50" s="150">
        <f ca="1">IF(M50&gt;TODAY(),0,IF(N50&lt;TODAY(),R50,(TODAY()-M50+1)-COUNTIFS(INDIRECT(getCalendarRange(O50)),"&gt;=" &amp; M50,INDIRECT(getCalendarRange(O50)),"&lt;=" &amp; TODAY())))</f>
        <v>6</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f ca="1">IF(M51="","0",(N51-M51+1)-COUNTIFS(INDIRECT(getCalendarRange(O51)),"&gt;=" &amp; M51,INDIRECT(getCalendarRange(O51)),"&lt;=" &amp; N51))</f>
        <v>3</v>
      </c>
      <c r="S51" s="150">
        <f ca="1">IF(M51&gt;TODAY(),0,IF(N51&lt;TODAY(),R51,(TODAY()-M51+1)-COUNTIFS(INDIRECT(getCalendarRange(O51)),"&gt;=" &amp; M51,INDIRECT(getCalendarRange(O51)),"&lt;=" &amp; TODAY())))</f>
        <v>3</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f ca="1">IF(M52="","0",(N52-M52+1)-COUNTIFS(INDIRECT(getCalendarRange(O52)),"&gt;=" &amp; M52,INDIRECT(getCalendarRange(O52)),"&lt;=" &amp; N52))</f>
        <v>12</v>
      </c>
      <c r="S52" s="150">
        <f ca="1">IF(M52&gt;TODAY(),0,IF(N52&lt;TODAY(),R52,(TODAY()-M52+1)-COUNTIFS(INDIRECT(getCalendarRange(O52)),"&gt;=" &amp; M52,INDIRECT(getCalendarRange(O52)),"&lt;=" &amp; TODAY())))</f>
        <v>12</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f ca="1">IF(M53="","0",(N53-M53+1)-COUNTIFS(INDIRECT(getCalendarRange(O53)),"&gt;=" &amp; M53,INDIRECT(getCalendarRange(O53)),"&lt;=" &amp; N53))</f>
        <v>16</v>
      </c>
      <c r="S53" s="150">
        <f ca="1">IF(M53&gt;TODAY(),0,IF(N53&lt;TODAY(),R53,(TODAY()-M53+1)-COUNTIFS(INDIRECT(getCalendarRange(O53)),"&gt;=" &amp; M53,INDIRECT(getCalendarRange(O53)),"&lt;=" &amp; TODAY())))</f>
        <v>16</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f ca="1">IF(M54="","0",(N54-M54+1)-COUNTIFS(INDIRECT(getCalendarRange(O54)),"&gt;=" &amp; M54,INDIRECT(getCalendarRange(O54)),"&lt;=" &amp; N54))</f>
        <v>52</v>
      </c>
      <c r="S54" s="150">
        <f ca="1">IF(M54&gt;TODAY(),0,IF(N54&lt;TODAY(),R54,(TODAY()-M54+1)-COUNTIFS(INDIRECT(getCalendarRange(O54)),"&gt;=" &amp; M54,INDIRECT(getCalendarRange(O54)),"&lt;=" &amp; TODAY())))</f>
        <v>8</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43511</v>
      </c>
      <c r="N55" s="126">
        <v>43623</v>
      </c>
      <c r="O55" s="148"/>
      <c r="P55" s="149">
        <v>225</v>
      </c>
      <c r="Q55" s="149">
        <v>56</v>
      </c>
      <c r="R55" s="150">
        <f ca="1">IF(M55="","0",(N55-M55+1)-COUNTIFS(INDIRECT(getCalendarRange(O55)),"&gt;=" &amp; M55,INDIRECT(getCalendarRange(O55)),"&lt;=" &amp; N55))</f>
        <v>113</v>
      </c>
      <c r="S55" s="150">
        <f ca="1">IF(M55&gt;TODAY(),0,IF(N55&lt;TODAY(),R55,(TODAY()-M55+1)-COUNTIFS(INDIRECT(getCalendarRange(O55)),"&gt;=" &amp; M55,INDIRECT(getCalendarRange(O55)),"&lt;=" &amp; TODAY())))</f>
        <v>26</v>
      </c>
      <c r="T55" s="126"/>
      <c r="U55" s="126"/>
      <c r="V55" s="151">
        <v>0</v>
      </c>
      <c r="W55" s="152" t="str">
        <f ca="1">IF(U55="","0",IF(T55="","0",(U55-T55+1)-COUNTIFS(INDIRECT(getCalendarRange(O55)),"&gt;=" &amp; T55,INDIRECT(getCalendarRange(O55)),"&lt;=" &amp; U55)))</f>
        <v>0</v>
      </c>
      <c r="X55" s="153"/>
      <c r="Y55" s="183" t="s">
        <v>1112</v>
      </c>
      <c r="Z55" s="154"/>
      <c r="AA55" s="155">
        <v>0.24888888888888888</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c r="DG55" s="207"/>
      <c r="DH55" s="208"/>
      <c r="DI55" s="208"/>
      <c r="DJ55" s="208"/>
      <c r="DK55" s="208"/>
      <c r="DL55" s="208"/>
      <c r="DM55" s="208"/>
      <c r="DN55" s="208"/>
      <c r="DO55" s="208"/>
      <c r="DP55" s="208"/>
      <c r="DQ55" s="208"/>
      <c r="DR55" s="208"/>
      <c r="DS55" s="208"/>
      <c r="DT55" s="208" t="str">
        <f>I55 &amp; " " &amp; IF(M55="","",TEXT(M55,"M/D-")) &amp; IF(N55="","",TEXT(N55,"M/D")) &amp; " "</f>
        <v xml:space="preserve">사이트 개발 2/15-6/7 </v>
      </c>
      <c r="DU55" s="207" t="str">
        <f>TEXT(AB55,"#0.00%") &amp; " "</f>
        <v xml:space="preserve">0.00% </v>
      </c>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43511</v>
      </c>
      <c r="N56" s="126">
        <v>43623</v>
      </c>
      <c r="O56" s="148"/>
      <c r="P56" s="149">
        <v>225</v>
      </c>
      <c r="Q56" s="149">
        <v>56</v>
      </c>
      <c r="R56" s="150">
        <f ca="1">IF(M56="","0",(N56-M56+1)-COUNTIFS(INDIRECT(getCalendarRange(O56)),"&gt;=" &amp; M56,INDIRECT(getCalendarRange(O56)),"&lt;=" &amp; N56))</f>
        <v>113</v>
      </c>
      <c r="S56" s="150">
        <f ca="1">IF(M56&gt;TODAY(),0,IF(N56&lt;TODAY(),R56,(TODAY()-M56+1)-COUNTIFS(INDIRECT(getCalendarRange(O56)),"&gt;=" &amp; M56,INDIRECT(getCalendarRange(O56)),"&lt;=" &amp; TODAY())))</f>
        <v>26</v>
      </c>
      <c r="T56" s="126"/>
      <c r="U56" s="126"/>
      <c r="V56" s="151">
        <v>0</v>
      </c>
      <c r="W56" s="152" t="str">
        <f ca="1">IF(U56="","0",IF(T56="","0",(U56-T56+1)-COUNTIFS(INDIRECT(getCalendarRange(O56)),"&gt;=" &amp; T56,INDIRECT(getCalendarRange(O56)),"&lt;=" &amp; U56)))</f>
        <v>0</v>
      </c>
      <c r="X56" s="153"/>
      <c r="Y56" s="183" t="s">
        <v>1112</v>
      </c>
      <c r="Z56" s="154"/>
      <c r="AA56" s="155">
        <v>0.24888888888888888</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c r="DG56" s="207"/>
      <c r="DH56" s="208"/>
      <c r="DI56" s="208"/>
      <c r="DJ56" s="208"/>
      <c r="DK56" s="208"/>
      <c r="DL56" s="208"/>
      <c r="DM56" s="208"/>
      <c r="DN56" s="208"/>
      <c r="DO56" s="208"/>
      <c r="DP56" s="208"/>
      <c r="DQ56" s="208"/>
      <c r="DR56" s="208"/>
      <c r="DS56" s="208"/>
      <c r="DT56" s="208" t="str">
        <f>J56 &amp; " " &amp; IF(M56="","",TEXT(M56,"M/D-")) &amp; IF(N56="","",TEXT(N56,"M/D")) &amp; " "</f>
        <v xml:space="preserve">Vue.js 구현 2/15-6/7 </v>
      </c>
      <c r="DU56" s="207" t="str">
        <f>TEXT(AB56,"#0.00%") &amp; " "</f>
        <v xml:space="preserve">0.00% </v>
      </c>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1180</v>
      </c>
      <c r="E57" s="148"/>
      <c r="F57" s="148"/>
      <c r="G57" s="148"/>
      <c r="H57" s="148"/>
      <c r="I57" s="148"/>
      <c r="J57" s="183"/>
      <c r="K57" s="241" t="s">
        <v>1174</v>
      </c>
      <c r="L57" s="242"/>
      <c r="M57" s="126">
        <v>43522</v>
      </c>
      <c r="N57" s="126">
        <v>43567</v>
      </c>
      <c r="O57" s="148"/>
      <c r="P57" s="149">
        <v>46</v>
      </c>
      <c r="Q57" s="149">
        <v>15</v>
      </c>
      <c r="R57" s="150">
        <f ca="1">IF(M57="","0",(N57-M57+1)-COUNTIFS(INDIRECT(getCalendarRange(O57)),"&gt;=" &amp; M57,INDIRECT(getCalendarRange(O57)),"&lt;=" &amp; N57))</f>
        <v>46</v>
      </c>
      <c r="S57" s="150">
        <f ca="1">IF(M57&gt;TODAY(),0,IF(N57&lt;TODAY(),R57,(TODAY()-M57+1)-COUNTIFS(INDIRECT(getCalendarRange(O57)),"&gt;=" &amp; M57,INDIRECT(getCalendarRange(O57)),"&lt;=" &amp; TODAY())))</f>
        <v>15</v>
      </c>
      <c r="T57" s="126"/>
      <c r="U57" s="126"/>
      <c r="V57" s="151"/>
      <c r="W57" s="152" t="str">
        <f ca="1">IF(U57="","0",IF(T57="","0",(U57-T57+1)-COUNTIFS(INDIRECT(getCalendarRange(O57)),"&gt;=" &amp; T57,INDIRECT(getCalendarRange(O57)),"&lt;=" &amp; U57)))</f>
        <v>0</v>
      </c>
      <c r="X57" s="153">
        <v>1</v>
      </c>
      <c r="Y57" s="183" t="s">
        <v>1112</v>
      </c>
      <c r="Z57" s="154"/>
      <c r="AA57" s="155">
        <v>0.32608695652173914</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t="str">
        <f>K57 &amp; " " &amp; IF(M57="","",TEXT(M57,"M/D-")) &amp; IF(N57="","",TEXT(N57,"M/D")) &amp; " "</f>
        <v xml:space="preserve">메인페이지 2/26-4/12 </v>
      </c>
      <c r="EF57" s="207" t="str">
        <f>TEXT(AB57,"#0.00%") &amp; " "</f>
        <v xml:space="preserve">0.00% </v>
      </c>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1181</v>
      </c>
      <c r="E58" s="148"/>
      <c r="F58" s="148"/>
      <c r="G58" s="148"/>
      <c r="H58" s="148"/>
      <c r="I58" s="148"/>
      <c r="J58" s="183"/>
      <c r="K58" s="183" t="s">
        <v>1175</v>
      </c>
      <c r="L58" s="183"/>
      <c r="M58" s="126">
        <v>43523</v>
      </c>
      <c r="N58" s="126">
        <v>43544</v>
      </c>
      <c r="O58" s="148"/>
      <c r="P58" s="149">
        <v>22</v>
      </c>
      <c r="Q58" s="149">
        <v>14</v>
      </c>
      <c r="R58" s="150">
        <f ca="1">IF(M58="","0",(N58-M58+1)-COUNTIFS(INDIRECT(getCalendarRange(O58)),"&gt;=" &amp; M58,INDIRECT(getCalendarRange(O58)),"&lt;=" &amp; N58))</f>
        <v>22</v>
      </c>
      <c r="S58" s="150">
        <f ca="1">IF(M58&gt;TODAY(),0,IF(N58&lt;TODAY(),R58,(TODAY()-M58+1)-COUNTIFS(INDIRECT(getCalendarRange(O58)),"&gt;=" &amp; M58,INDIRECT(getCalendarRange(O58)),"&lt;=" &amp; TODAY())))</f>
        <v>14</v>
      </c>
      <c r="T58" s="126"/>
      <c r="U58" s="126"/>
      <c r="V58" s="151"/>
      <c r="W58" s="152" t="str">
        <f ca="1">IF(U58="","0",IF(T58="","0",(U58-T58+1)-COUNTIFS(INDIRECT(getCalendarRange(O58)),"&gt;=" &amp; T58,INDIRECT(getCalendarRange(O58)),"&lt;=" &amp; U58)))</f>
        <v>0</v>
      </c>
      <c r="X58" s="153">
        <v>1</v>
      </c>
      <c r="Y58" s="183" t="s">
        <v>1112</v>
      </c>
      <c r="Z58" s="154"/>
      <c r="AA58" s="155">
        <v>0.63636363636363635</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c r="DG58" s="207"/>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t="str">
        <f>K58 &amp; " " &amp; IF(M58="","",TEXT(M58,"M/D-")) &amp; IF(N58="","",TEXT(N58,"M/D")) &amp; " "</f>
        <v xml:space="preserve">제품소개 2/27-3/20 </v>
      </c>
      <c r="EG58" s="207" t="str">
        <f>TEXT(AB58,"#0.00%") &amp; " "</f>
        <v xml:space="preserve">0.00% </v>
      </c>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1182</v>
      </c>
      <c r="E59" s="148"/>
      <c r="F59" s="148"/>
      <c r="G59" s="148"/>
      <c r="H59" s="148"/>
      <c r="I59" s="148"/>
      <c r="J59" s="183"/>
      <c r="K59" s="183" t="s">
        <v>1114</v>
      </c>
      <c r="L59" s="148"/>
      <c r="M59" s="126">
        <v>43524</v>
      </c>
      <c r="N59" s="126">
        <v>43531</v>
      </c>
      <c r="O59" s="148"/>
      <c r="P59" s="149">
        <v>8</v>
      </c>
      <c r="Q59" s="149">
        <v>8</v>
      </c>
      <c r="R59" s="150">
        <f ca="1">IF(M59="","0",(N59-M59+1)-COUNTIFS(INDIRECT(getCalendarRange(O59)),"&gt;=" &amp; M59,INDIRECT(getCalendarRange(O59)),"&lt;=" &amp; N59))</f>
        <v>8</v>
      </c>
      <c r="S59" s="150">
        <f ca="1">IF(M59&gt;TODAY(),0,IF(N59&lt;TODAY(),R59,(TODAY()-M59+1)-COUNTIFS(INDIRECT(getCalendarRange(O59)),"&gt;=" &amp; M59,INDIRECT(getCalendarRange(O59)),"&lt;=" &amp; TODAY())))</f>
        <v>8</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7"/>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t="str">
        <f>K59 &amp; " " &amp; IF(M59="","",TEXT(M59,"M/D-")) &amp; IF(N59="","",TEXT(N59,"M/D")) &amp; " "</f>
        <v xml:space="preserve">문의사항 2/28-3/7 </v>
      </c>
      <c r="EH59" s="207" t="str">
        <f>TEXT(AB59,"#0.00%") &amp; " "</f>
        <v xml:space="preserve">0.00% </v>
      </c>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1183</v>
      </c>
      <c r="E60" s="148"/>
      <c r="F60" s="148"/>
      <c r="G60" s="148"/>
      <c r="H60" s="148"/>
      <c r="I60" s="148"/>
      <c r="J60" s="183"/>
      <c r="K60" s="183" t="s">
        <v>1155</v>
      </c>
      <c r="L60" s="148"/>
      <c r="M60" s="126">
        <v>43548</v>
      </c>
      <c r="N60" s="126">
        <v>43555</v>
      </c>
      <c r="O60" s="148"/>
      <c r="P60" s="149">
        <v>8</v>
      </c>
      <c r="Q60" s="149">
        <v>0</v>
      </c>
      <c r="R60" s="150">
        <f ca="1">IF(M60="","0",(N60-M60+1)-COUNTIFS(INDIRECT(getCalendarRange(O60)),"&gt;=" &amp; M60,INDIRECT(getCalendarRange(O60)),"&lt;=" &amp; N60))</f>
        <v>8</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1184</v>
      </c>
      <c r="E61" s="148"/>
      <c r="F61" s="148"/>
      <c r="G61" s="148"/>
      <c r="H61" s="148"/>
      <c r="I61" s="148"/>
      <c r="J61" s="183"/>
      <c r="K61" s="183" t="s">
        <v>1115</v>
      </c>
      <c r="L61" s="148"/>
      <c r="M61" s="126">
        <v>43545</v>
      </c>
      <c r="N61" s="126">
        <v>43554</v>
      </c>
      <c r="O61" s="148"/>
      <c r="P61" s="149">
        <v>10</v>
      </c>
      <c r="Q61" s="149">
        <v>0</v>
      </c>
      <c r="R61" s="150">
        <f ca="1">IF(M61="","0",(N61-M61+1)-COUNTIFS(INDIRECT(getCalendarRange(O61)),"&gt;=" &amp; M61,INDIRECT(getCalendarRange(O61)),"&lt;=" &amp; N61))</f>
        <v>10</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0</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c r="DM61" s="207"/>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t="str">
        <f>K61 &amp; " " &amp; IF(M61="","",TEXT(M61,"M/D-")) &amp; IF(N61="","",TEXT(N61,"M/D")) &amp; " "</f>
        <v xml:space="preserve">디퓨저 판매 3/21-3/30 </v>
      </c>
      <c r="FC61" s="207" t="str">
        <f>TEXT(AB61,"#0.00%") &amp; " "</f>
        <v xml:space="preserve">0.00% </v>
      </c>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1185</v>
      </c>
      <c r="E62" s="148"/>
      <c r="F62" s="148"/>
      <c r="G62" s="148"/>
      <c r="H62" s="148"/>
      <c r="I62" s="148"/>
      <c r="J62" s="183"/>
      <c r="K62" s="184" t="s">
        <v>1159</v>
      </c>
      <c r="L62" s="148"/>
      <c r="M62" s="126">
        <v>43525</v>
      </c>
      <c r="N62" s="126">
        <v>43538</v>
      </c>
      <c r="O62" s="148"/>
      <c r="P62" s="149">
        <v>14</v>
      </c>
      <c r="Q62" s="149">
        <v>12</v>
      </c>
      <c r="R62" s="150">
        <f ca="1">IF(M62="","0",(N62-M62+1)-COUNTIFS(INDIRECT(getCalendarRange(O62)),"&gt;=" &amp; M62,INDIRECT(getCalendarRange(O62)),"&lt;=" &amp; N62))</f>
        <v>14</v>
      </c>
      <c r="S62" s="150">
        <f ca="1">IF(M62&gt;TODAY(),0,IF(N62&lt;TODAY(),R62,(TODAY()-M62+1)-COUNTIFS(INDIRECT(getCalendarRange(O62)),"&gt;=" &amp; M62,INDIRECT(getCalendarRange(O62)),"&lt;=" &amp; TODAY())))</f>
        <v>12</v>
      </c>
      <c r="T62" s="126"/>
      <c r="U62" s="126"/>
      <c r="V62" s="151"/>
      <c r="W62" s="152" t="str">
        <f ca="1">IF(U62="","0",IF(T62="","0",(U62-T62+1)-COUNTIFS(INDIRECT(getCalendarRange(O62)),"&gt;=" &amp; T62,INDIRECT(getCalendarRange(O62)),"&lt;=" &amp; U62)))</f>
        <v>0</v>
      </c>
      <c r="X62" s="153">
        <v>1</v>
      </c>
      <c r="Y62" s="183" t="s">
        <v>1112</v>
      </c>
      <c r="Z62" s="154"/>
      <c r="AA62" s="155">
        <v>0.8571428571428571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7"/>
      <c r="DN62" s="208"/>
      <c r="DO62" s="208"/>
      <c r="DP62" s="208"/>
      <c r="DQ62" s="208"/>
      <c r="DR62" s="208"/>
      <c r="DS62" s="208"/>
      <c r="DT62" s="208"/>
      <c r="DU62" s="208"/>
      <c r="DV62" s="208"/>
      <c r="DW62" s="208"/>
      <c r="DX62" s="208"/>
      <c r="DY62" s="208"/>
      <c r="DZ62" s="208"/>
      <c r="EA62" s="208"/>
      <c r="EB62" s="208"/>
      <c r="EC62" s="208"/>
      <c r="ED62" s="208"/>
      <c r="EE62" s="208"/>
      <c r="EF62" s="208"/>
      <c r="EG62" s="208"/>
      <c r="EH62" s="208" t="str">
        <f>K62 &amp; " " &amp; IF(M62="","",TEXT(M62,"M/D-")) &amp; IF(N62="","",TEXT(N62,"M/D")) &amp; " "</f>
        <v xml:space="preserve">제품,리필용액 판매 3/1-3/14 </v>
      </c>
      <c r="EI62" s="207" t="str">
        <f>TEXT(AB62,"#0.00%") &amp; " "</f>
        <v xml:space="preserve">0.00% </v>
      </c>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1186</v>
      </c>
      <c r="E63" s="148"/>
      <c r="F63" s="148"/>
      <c r="G63" s="148"/>
      <c r="H63" s="148"/>
      <c r="I63" s="148"/>
      <c r="J63" s="183"/>
      <c r="K63" s="183" t="s">
        <v>1116</v>
      </c>
      <c r="L63" s="148"/>
      <c r="M63" s="126">
        <v>43511</v>
      </c>
      <c r="N63" s="126">
        <v>43517</v>
      </c>
      <c r="O63" s="148"/>
      <c r="P63" s="149">
        <v>7</v>
      </c>
      <c r="Q63" s="149">
        <v>7</v>
      </c>
      <c r="R63" s="150">
        <f ca="1">IF(M63="","0",(N63-M63+1)-COUNTIFS(INDIRECT(getCalendarRange(O63)),"&gt;=" &amp; M63,INDIRECT(getCalendarRange(O63)),"&lt;=" &amp; N63))</f>
        <v>7</v>
      </c>
      <c r="S63" s="150">
        <f ca="1">IF(M63&gt;TODAY(),0,IF(N63&lt;TODAY(),R63,(TODAY()-M63+1)-COUNTIFS(INDIRECT(getCalendarRange(O63)),"&gt;=" &amp; M63,INDIRECT(getCalendarRange(O63)),"&lt;=" &amp; TODAY())))</f>
        <v>7</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7" t="str">
        <f>K63 &amp; " " &amp; IF(M63="","",TEXT(M63,"M/D-")) &amp; IF(N63="","",TEXT(N63,"M/D")) &amp; " "</f>
        <v xml:space="preserve">장바구니 2/15-2/21 </v>
      </c>
      <c r="DU63" s="207" t="str">
        <f>TEXT(AB63,"#0.00%") &amp; " "</f>
        <v xml:space="preserve">0.00% </v>
      </c>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1187</v>
      </c>
      <c r="E64" s="148"/>
      <c r="F64" s="148"/>
      <c r="G64" s="148"/>
      <c r="H64" s="148"/>
      <c r="I64" s="148"/>
      <c r="J64" s="183"/>
      <c r="K64" s="183" t="s">
        <v>1110</v>
      </c>
      <c r="L64" s="148"/>
      <c r="M64" s="126">
        <v>43539</v>
      </c>
      <c r="N64" s="126">
        <v>43553</v>
      </c>
      <c r="O64" s="148"/>
      <c r="P64" s="149">
        <v>15</v>
      </c>
      <c r="Q64" s="149">
        <v>0</v>
      </c>
      <c r="R64" s="150">
        <f ca="1">IF(M64="","0",(N64-M64+1)-COUNTIFS(INDIRECT(getCalendarRange(O64)),"&gt;=" &amp; M64,INDIRECT(getCalendarRange(O64)),"&lt;=" &amp; N64))</f>
        <v>15</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0</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7"/>
      <c r="EB64" s="208"/>
      <c r="EC64" s="208"/>
      <c r="ED64" s="208"/>
      <c r="EE64" s="208"/>
      <c r="EF64" s="208"/>
      <c r="EG64" s="208"/>
      <c r="EH64" s="208"/>
      <c r="EI64" s="208"/>
      <c r="EJ64" s="208"/>
      <c r="EK64" s="208"/>
      <c r="EL64" s="208"/>
      <c r="EM64" s="208"/>
      <c r="EN64" s="208"/>
      <c r="EO64" s="208"/>
      <c r="EP64" s="208"/>
      <c r="EQ64" s="208"/>
      <c r="ER64" s="208"/>
      <c r="ES64" s="208"/>
      <c r="ET64" s="208"/>
      <c r="EU64" s="208"/>
      <c r="EV64" s="208" t="str">
        <f>K64 &amp; " " &amp; IF(M64="","",TEXT(M64,"M/D-")) &amp; IF(N64="","",TEXT(N64,"M/D")) &amp; " "</f>
        <v xml:space="preserve">커뮤니티 3/15-3/29 </v>
      </c>
      <c r="EW64" s="207" t="str">
        <f>TEXT(AB64,"#0.00%") &amp; " "</f>
        <v xml:space="preserve">0.00% </v>
      </c>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1188</v>
      </c>
      <c r="E65" s="148"/>
      <c r="F65" s="148"/>
      <c r="G65" s="148"/>
      <c r="H65" s="148"/>
      <c r="I65" s="148"/>
      <c r="J65" s="183"/>
      <c r="K65" s="183" t="s">
        <v>1117</v>
      </c>
      <c r="L65" s="148"/>
      <c r="M65" s="126">
        <v>43555</v>
      </c>
      <c r="N65" s="126">
        <v>43565</v>
      </c>
      <c r="O65" s="148"/>
      <c r="P65" s="149">
        <v>11</v>
      </c>
      <c r="Q65" s="149">
        <v>0</v>
      </c>
      <c r="R65" s="150">
        <f ca="1">IF(M65="","0",(N65-M65+1)-COUNTIFS(INDIRECT(getCalendarRange(O65)),"&gt;=" &amp; M65,INDIRECT(getCalendarRange(O65)),"&lt;=" &amp; N65))</f>
        <v>11</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7"/>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t="str">
        <f>K65 &amp; " " &amp; IF(M65="","",TEXT(M65,"M/D-")) &amp; IF(N65="","",TEXT(N65,"M/D")) &amp; " "</f>
        <v xml:space="preserve">검색 3/31-4/10 </v>
      </c>
      <c r="FM65" s="207" t="str">
        <f>TEXT(AB65,"#0.00%") &amp; " "</f>
        <v xml:space="preserve">0.00% </v>
      </c>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1189</v>
      </c>
      <c r="E66" s="148"/>
      <c r="F66" s="148"/>
      <c r="G66" s="148"/>
      <c r="H66" s="148"/>
      <c r="I66" s="148"/>
      <c r="J66" s="184"/>
      <c r="K66" s="183" t="s">
        <v>1111</v>
      </c>
      <c r="L66" s="148"/>
      <c r="M66" s="126">
        <v>43541</v>
      </c>
      <c r="N66" s="126">
        <v>43554</v>
      </c>
      <c r="O66" s="148"/>
      <c r="P66" s="149">
        <v>14</v>
      </c>
      <c r="Q66" s="149">
        <v>0</v>
      </c>
      <c r="R66" s="150">
        <f ca="1">IF(M66="","0",(N66-M66+1)-COUNTIFS(INDIRECT(getCalendarRange(O66)),"&gt;=" &amp; M66,INDIRECT(getCalendarRange(O66)),"&lt;=" &amp; N66))</f>
        <v>14</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7"/>
      <c r="EW66" s="208"/>
      <c r="EX66" s="208" t="str">
        <f>K66 &amp; " " &amp; IF(M66="","",TEXT(M66,"M/D-")) &amp; IF(N66="","",TEXT(N66,"M/D")) &amp; " "</f>
        <v xml:space="preserve">마이페이지 3/17-3/30 </v>
      </c>
      <c r="EY66" s="207" t="str">
        <f>TEXT(AB66,"#0.00%") &amp; " "</f>
        <v xml:space="preserve">0.00% </v>
      </c>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1190</v>
      </c>
      <c r="E67" s="148"/>
      <c r="F67" s="148"/>
      <c r="G67" s="148"/>
      <c r="H67" s="148"/>
      <c r="I67" s="148"/>
      <c r="J67" s="183"/>
      <c r="K67" s="183" t="s">
        <v>1138</v>
      </c>
      <c r="L67" s="184"/>
      <c r="M67" s="126">
        <v>43554</v>
      </c>
      <c r="N67" s="126">
        <v>43623</v>
      </c>
      <c r="O67" s="148"/>
      <c r="P67" s="149">
        <v>70</v>
      </c>
      <c r="Q67" s="149">
        <v>0</v>
      </c>
      <c r="R67" s="150">
        <f ca="1">IF(M67="","0",(N67-M67+1)-COUNTIFS(INDIRECT(getCalendarRange(O67)),"&gt;=" &amp; M67,INDIRECT(getCalendarRange(O67)),"&lt;=" &amp; N67))</f>
        <v>70</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3/30-6/7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f ca="1">IF(M68="","0",(N68-M68+1)-COUNTIFS(INDIRECT(getCalendarRange(O68)),"&gt;=" &amp; M68,INDIRECT(getCalendarRange(O68)),"&lt;=" &amp; N68))</f>
        <v>83</v>
      </c>
      <c r="S68" s="150">
        <f ca="1">IF(M68&gt;TODAY(),0,IF(N68&lt;TODAY(),R68,(TODAY()-M68+1)-COUNTIFS(INDIRECT(getCalendarRange(O68)),"&gt;=" &amp; M68,INDIRECT(getCalendarRange(O68)),"&lt;=" &amp; TODAY())))</f>
        <v>40</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f ca="1">IF(M69="","0",(N69-M69+1)-COUNTIFS(INDIRECT(getCalendarRange(O69)),"&gt;=" &amp; M69,INDIRECT(getCalendarRange(O69)),"&lt;=" &amp; N69))</f>
        <v>11</v>
      </c>
      <c r="S69" s="150">
        <f ca="1">IF(M69&gt;TODAY(),0,IF(N69&lt;TODAY(),R69,(TODAY()-M69+1)-COUNTIFS(INDIRECT(getCalendarRange(O69)),"&gt;=" &amp; M69,INDIRECT(getCalendarRange(O69)),"&lt;=" &amp; TODAY())))</f>
        <v>8</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f ca="1">IF(M70="","0",(N70-M70+1)-COUNTIFS(INDIRECT(getCalendarRange(O70)),"&gt;=" &amp; M70,INDIRECT(getCalendarRange(O70)),"&lt;=" &amp; N70))</f>
        <v>16</v>
      </c>
      <c r="S70" s="150">
        <f ca="1">IF(M70&gt;TODAY(),0,IF(N70&lt;TODAY(),R70,(TODAY()-M70+1)-COUNTIFS(INDIRECT(getCalendarRange(O70)),"&gt;=" &amp; M70,INDIRECT(getCalendarRange(O70)),"&lt;=" &amp; TODAY())))</f>
        <v>8</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f ca="1">IF(M71="","0",(N71-M71+1)-COUNTIFS(INDIRECT(getCalendarRange(O71)),"&gt;=" &amp; M71,INDIRECT(getCalendarRange(O71)),"&lt;=" &amp; N71))</f>
        <v>10</v>
      </c>
      <c r="S71" s="150">
        <f ca="1">IF(M71&gt;TODAY(),0,IF(N71&lt;TODAY(),R71,(TODAY()-M71+1)-COUNTIFS(INDIRECT(getCalendarRange(O71)),"&gt;=" &amp; M71,INDIRECT(getCalendarRange(O71)),"&lt;=" &amp; TODAY())))</f>
        <v>10</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f ca="1">IF(M72="","0",(N72-M72+1)-COUNTIFS(INDIRECT(getCalendarRange(O72)),"&gt;=" &amp; M72,INDIRECT(getCalendarRange(O72)),"&lt;=" &amp; N72))</f>
        <v>11</v>
      </c>
      <c r="S72" s="150">
        <f ca="1">IF(M72&gt;TODAY(),0,IF(N72&lt;TODAY(),R72,(TODAY()-M72+1)-COUNTIFS(INDIRECT(getCalendarRange(O72)),"&gt;=" &amp; M72,INDIRECT(getCalendarRange(O72)),"&lt;=" &amp; TODAY())))</f>
        <v>11</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f ca="1">IF(M73="","0",(N73-M73+1)-COUNTIFS(INDIRECT(getCalendarRange(O73)),"&gt;=" &amp; M73,INDIRECT(getCalendarRange(O73)),"&lt;=" &amp; N73))</f>
        <v>9</v>
      </c>
      <c r="S73" s="150">
        <f ca="1">IF(M73&gt;TODAY(),0,IF(N73&lt;TODAY(),R73,(TODAY()-M73+1)-COUNTIFS(INDIRECT(getCalendarRange(O73)),"&gt;=" &amp; M73,INDIRECT(getCalendarRange(O73)),"&lt;=" &amp; TODAY())))</f>
        <v>9</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f ca="1">IF(M74="","0",(N74-M74+1)-COUNTIFS(INDIRECT(getCalendarRange(O74)),"&gt;=" &amp; M74,INDIRECT(getCalendarRange(O74)),"&lt;=" &amp; N74))</f>
        <v>12</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f ca="1">IF(M75="","0",(N75-M75+1)-COUNTIFS(INDIRECT(getCalendarRange(O75)),"&gt;=" &amp; M75,INDIRECT(getCalendarRange(O75)),"&lt;=" &amp; N75))</f>
        <v>21</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43536</v>
      </c>
      <c r="N76" s="126">
        <v>43623</v>
      </c>
      <c r="O76" s="148"/>
      <c r="P76" s="149">
        <v>102</v>
      </c>
      <c r="Q76" s="149">
        <v>2</v>
      </c>
      <c r="R76" s="150">
        <f ca="1">IF(M76="","0",(N76-M76+1)-COUNTIFS(INDIRECT(getCalendarRange(O76)),"&gt;=" &amp; M76,INDIRECT(getCalendarRange(O76)),"&lt;=" &amp; N76))</f>
        <v>88</v>
      </c>
      <c r="S76" s="150">
        <f ca="1">IF(M76&gt;TODAY(),0,IF(N76&lt;TODAY(),R76,(TODAY()-M76+1)-COUNTIFS(INDIRECT(getCalendarRange(O76)),"&gt;=" &amp; M76,INDIRECT(getCalendarRange(O76)),"&lt;=" &amp; TODAY())))</f>
        <v>1</v>
      </c>
      <c r="T76" s="126"/>
      <c r="U76" s="126"/>
      <c r="V76" s="151">
        <v>0</v>
      </c>
      <c r="W76" s="152" t="str">
        <f ca="1">IF(U76="","0",IF(T76="","0",(U76-T76+1)-COUNTIFS(INDIRECT(getCalendarRange(O76)),"&gt;=" &amp; T76,INDIRECT(getCalendarRange(O76)),"&lt;=" &amp; U76)))</f>
        <v>0</v>
      </c>
      <c r="X76" s="153"/>
      <c r="Y76" s="184" t="s">
        <v>1165</v>
      </c>
      <c r="Z76" s="154"/>
      <c r="AA76" s="155">
        <v>1.9607843137254902E-2</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7"/>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t="str">
        <f>I76 &amp; " " &amp; IF(M76="","",TEXT(M76,"M/D-")) &amp; IF(N76="","",TEXT(N76,"M/D")) &amp; " "</f>
        <v xml:space="preserve">서버 환경 구축 3/12-6/7 </v>
      </c>
      <c r="ET76" s="207" t="str">
        <f>TEXT(AB76,"#0.00%") &amp; " "</f>
        <v xml:space="preserve">0.00% </v>
      </c>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212" t="s">
        <v>1173</v>
      </c>
      <c r="K77" s="148"/>
      <c r="L77" s="148"/>
      <c r="M77" s="126">
        <v>43536</v>
      </c>
      <c r="N77" s="126">
        <v>43539</v>
      </c>
      <c r="O77" s="148"/>
      <c r="P77" s="149">
        <v>4</v>
      </c>
      <c r="Q77" s="149">
        <v>1</v>
      </c>
      <c r="R77" s="150">
        <f ca="1">IF(M77="","0",(N77-M77+1)-COUNTIFS(INDIRECT(getCalendarRange(O77)),"&gt;=" &amp; M77,INDIRECT(getCalendarRange(O77)),"&lt;=" &amp; N77))</f>
        <v>4</v>
      </c>
      <c r="S77" s="150">
        <f ca="1">IF(M77&gt;TODAY(),0,IF(N77&lt;TODAY(),R77,(TODAY()-M77+1)-COUNTIFS(INDIRECT(getCalendarRange(O77)),"&gt;=" &amp; M77,INDIRECT(getCalendarRange(O77)),"&lt;=" &amp; TODAY())))</f>
        <v>1</v>
      </c>
      <c r="T77" s="126"/>
      <c r="U77" s="126"/>
      <c r="V77" s="151"/>
      <c r="W77" s="152" t="str">
        <f ca="1">IF(U77="","0",IF(T77="","0",(U77-T77+1)-COUNTIFS(INDIRECT(getCalendarRange(O77)),"&gt;=" &amp; T77,INDIRECT(getCalendarRange(O77)),"&lt;=" &amp; U77)))</f>
        <v>0</v>
      </c>
      <c r="X77" s="153">
        <v>1</v>
      </c>
      <c r="Y77" s="183" t="s">
        <v>1085</v>
      </c>
      <c r="Z77" s="154"/>
      <c r="AA77" s="155">
        <v>0.25</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c r="EM77" s="207"/>
      <c r="EN77" s="208"/>
      <c r="EO77" s="208"/>
      <c r="EP77" s="208"/>
      <c r="EQ77" s="208"/>
      <c r="ER77" s="208"/>
      <c r="ES77" s="208" t="str">
        <f>J77 &amp; " " &amp; IF(M77="","",TEXT(M77,"M/D-")) &amp; IF(N77="","",TEXT(N77,"M/D")) &amp; " "</f>
        <v xml:space="preserve">웹 서버 구축 3/12-3/15 </v>
      </c>
      <c r="ET77" s="207" t="str">
        <f>TEXT(AB77,"#0.00%") &amp; " "</f>
        <v xml:space="preserve">0.00% </v>
      </c>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t="s">
        <v>1176</v>
      </c>
      <c r="K78" s="148"/>
      <c r="L78" s="148"/>
      <c r="M78" s="126">
        <v>43540</v>
      </c>
      <c r="N78" s="126">
        <v>43541</v>
      </c>
      <c r="O78" s="148"/>
      <c r="P78" s="149">
        <v>2</v>
      </c>
      <c r="Q78" s="149">
        <v>0</v>
      </c>
      <c r="R78" s="150">
        <f ca="1">IF(M78="","0",(N78-M78+1)-COUNTIFS(INDIRECT(getCalendarRange(O78)),"&gt;=" &amp; M78,INDIRECT(getCalendarRange(O78)),"&lt;=" &amp; N78))</f>
        <v>2</v>
      </c>
      <c r="S78" s="150">
        <f ca="1">IF(M78&gt;TODAY(),0,IF(N78&lt;TODAY(),R78,(TODAY()-M78+1)-COUNTIFS(INDIRECT(getCalendarRange(O78)),"&gt;=" &amp; M78,INDIRECT(getCalendarRange(O78)),"&lt;=" &amp; TODAY())))</f>
        <v>0</v>
      </c>
      <c r="T78" s="126"/>
      <c r="U78" s="126"/>
      <c r="V78" s="151"/>
      <c r="W78" s="152" t="str">
        <f ca="1">IF(U78="","0",IF(T78="","0",(U78-T78+1)-COUNTIFS(INDIRECT(getCalendarRange(O78)),"&gt;=" &amp; T78,INDIRECT(getCalendarRange(O78)),"&lt;=" &amp; U78)))</f>
        <v>0</v>
      </c>
      <c r="X78" s="153">
        <v>1</v>
      </c>
      <c r="Y78" s="183" t="s">
        <v>1085</v>
      </c>
      <c r="Z78" s="154"/>
      <c r="AA78" s="155">
        <v>0</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7"/>
      <c r="EN78" s="208"/>
      <c r="EO78" s="208"/>
      <c r="EP78" s="208"/>
      <c r="EQ78" s="208"/>
      <c r="ER78" s="208"/>
      <c r="ES78" s="208"/>
      <c r="ET78" s="208"/>
      <c r="EU78" s="208"/>
      <c r="EV78" s="208"/>
      <c r="EW78" s="208" t="str">
        <f>J78 &amp; " " &amp; IF(M78="","",TEXT(M78,"M/D-")) &amp; IF(N78="","",TEXT(N78,"M/D")) &amp; " "</f>
        <v xml:space="preserve">MQTT 서버 구축 3/16-3/17 </v>
      </c>
      <c r="EX78" s="207" t="str">
        <f>TEXT(AB78,"#0.00%") &amp; " "</f>
        <v xml:space="preserve">0.00% </v>
      </c>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212" t="s">
        <v>1177</v>
      </c>
      <c r="K79" s="148"/>
      <c r="L79" s="148"/>
      <c r="M79" s="126">
        <v>43536</v>
      </c>
      <c r="N79" s="126">
        <v>43623</v>
      </c>
      <c r="O79" s="148"/>
      <c r="P79" s="149">
        <v>88</v>
      </c>
      <c r="Q79" s="149">
        <v>1</v>
      </c>
      <c r="R79" s="150">
        <f ca="1">IF(M79="","0",(N79-M79+1)-COUNTIFS(INDIRECT(getCalendarRange(O79)),"&gt;=" &amp; M79,INDIRECT(getCalendarRange(O79)),"&lt;=" &amp; N79))</f>
        <v>88</v>
      </c>
      <c r="S79" s="150">
        <f ca="1">IF(M79&gt;TODAY(),0,IF(N79&lt;TODAY(),R79,(TODAY()-M79+1)-COUNTIFS(INDIRECT(getCalendarRange(O79)),"&gt;=" &amp; M79,INDIRECT(getCalendarRange(O79)),"&lt;=" &amp; TODAY())))</f>
        <v>1</v>
      </c>
      <c r="T79" s="126"/>
      <c r="U79" s="126"/>
      <c r="V79" s="151"/>
      <c r="W79" s="152" t="str">
        <f ca="1">IF(U79="","0",IF(T79="","0",(U79-T79+1)-COUNTIFS(INDIRECT(getCalendarRange(O79)),"&gt;=" &amp; T79,INDIRECT(getCalendarRange(O79)),"&lt;=" &amp; U79)))</f>
        <v>0</v>
      </c>
      <c r="X79" s="153">
        <v>1</v>
      </c>
      <c r="Y79" s="183" t="s">
        <v>1085</v>
      </c>
      <c r="Z79" s="154"/>
      <c r="AA79" s="155">
        <v>1.1363636363636364E-2</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7"/>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t="str">
        <f>J79 &amp; " " &amp; IF(M79="","",TEXT(M79,"M/D-")) &amp; IF(N79="","",TEXT(N79,"M/D")) &amp; " "</f>
        <v xml:space="preserve">웹·MQTT 서버 설정 3/12-6/7 </v>
      </c>
      <c r="ET79" s="207" t="str">
        <f>TEXT(AB79,"#0.00%") &amp; " "</f>
        <v xml:space="preserve">0.00% </v>
      </c>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212" t="s">
        <v>1178</v>
      </c>
      <c r="K80" s="148"/>
      <c r="L80" s="148"/>
      <c r="M80" s="126">
        <v>43542</v>
      </c>
      <c r="N80" s="126">
        <v>43545</v>
      </c>
      <c r="O80" s="148"/>
      <c r="P80" s="149">
        <v>4</v>
      </c>
      <c r="Q80" s="149">
        <v>0</v>
      </c>
      <c r="R80" s="150">
        <f ca="1">IF(M80="","0",(N80-M80+1)-COUNTIFS(INDIRECT(getCalendarRange(O80)),"&gt;=" &amp; M80,INDIRECT(getCalendarRange(O80)),"&lt;=" &amp; N80))</f>
        <v>4</v>
      </c>
      <c r="S80" s="150">
        <f ca="1">IF(M80&gt;TODAY(),0,IF(N80&lt;TODAY(),R80,(TODAY()-M80+1)-COUNTIFS(INDIRECT(getCalendarRange(O80)),"&gt;=" &amp; M80,INDIRECT(getCalendarRange(O80)),"&lt;=" &amp; TODAY())))</f>
        <v>0</v>
      </c>
      <c r="T80" s="126"/>
      <c r="U80" s="126"/>
      <c r="V80" s="151"/>
      <c r="W80" s="152" t="str">
        <f ca="1">IF(U80="","0",IF(T80="","0",(U80-T80+1)-COUNTIFS(INDIRECT(getCalendarRange(O80)),"&gt;=" &amp; T80,INDIRECT(getCalendarRange(O80)),"&lt;=" &amp; U80)))</f>
        <v>0</v>
      </c>
      <c r="X80" s="153">
        <v>1</v>
      </c>
      <c r="Y80" s="183" t="s">
        <v>1085</v>
      </c>
      <c r="Z80" s="154"/>
      <c r="AA80" s="155">
        <v>0</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7"/>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t="str">
        <f>J80 &amp; " " &amp; IF(M80="","",TEXT(M80,"M/D-")) &amp; IF(N80="","",TEXT(N80,"M/D")) &amp; " "</f>
        <v xml:space="preserve">서버-rds(MySQL) 연동 3/18-3/21 </v>
      </c>
      <c r="EZ80" s="207" t="str">
        <f>TEXT(AB80,"#0.00%") &amp; " "</f>
        <v xml:space="preserve">0.00% </v>
      </c>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212" t="s">
        <v>1179</v>
      </c>
      <c r="K81" s="148"/>
      <c r="L81" s="148"/>
      <c r="M81" s="126">
        <v>43546</v>
      </c>
      <c r="N81" s="126">
        <v>43549</v>
      </c>
      <c r="O81" s="148"/>
      <c r="P81" s="149">
        <v>4</v>
      </c>
      <c r="Q81" s="149">
        <v>0</v>
      </c>
      <c r="R81" s="150">
        <f ca="1">IF(M81="","0",(N81-M81+1)-COUNTIFS(INDIRECT(getCalendarRange(O81)),"&gt;=" &amp; M81,INDIRECT(getCalendarRange(O81)),"&lt;=" &amp; N81))</f>
        <v>4</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1085</v>
      </c>
      <c r="Z81" s="154"/>
      <c r="AA81" s="155">
        <v>0</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7"/>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t="str">
        <f>J81 &amp; " " &amp; IF(M81="","",TEXT(M81,"M/D-")) &amp; IF(N81="","",TEXT(N81,"M/D")) &amp; " "</f>
        <v xml:space="preserve">서버-Storage S3 연동 3/22-3/25 </v>
      </c>
      <c r="FD81" s="207" t="str">
        <f>TEXT(AB81,"#0.00%") &amp; " "</f>
        <v xml:space="preserve">0.00% </v>
      </c>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t="s">
        <v>996</v>
      </c>
      <c r="C82" s="147">
        <v>3</v>
      </c>
      <c r="D82" s="157" t="s">
        <v>1011</v>
      </c>
      <c r="E82" s="148"/>
      <c r="F82" s="148"/>
      <c r="G82" s="148" t="s">
        <v>948</v>
      </c>
      <c r="H82" s="148"/>
      <c r="I82" s="148"/>
      <c r="J82" s="148"/>
      <c r="K82" s="148"/>
      <c r="L82" s="148"/>
      <c r="M82" s="126">
        <v>43617</v>
      </c>
      <c r="N82" s="126">
        <v>43623</v>
      </c>
      <c r="O82" s="148"/>
      <c r="P82" s="149">
        <v>14</v>
      </c>
      <c r="Q82" s="149">
        <v>0</v>
      </c>
      <c r="R82" s="150">
        <f ca="1">IF(M82="","0",(N82-M82+1)-COUNTIFS(INDIRECT(getCalendarRange(O82)),"&gt;=" &amp; M82,INDIRECT(getCalendarRange(O82)),"&lt;=" &amp; N82))</f>
        <v>7</v>
      </c>
      <c r="S82" s="150">
        <f ca="1">IF(M82&gt;TODAY(),0,IF(N82&lt;TODAY(),R82,(TODAY()-M82+1)-COUNTIFS(INDIRECT(getCalendarRange(O82)),"&gt;=" &amp; M82,INDIRECT(getCalendarRange(O82)),"&lt;=" &amp; TODAY())))</f>
        <v>0</v>
      </c>
      <c r="T82" s="126"/>
      <c r="U82" s="126"/>
      <c r="V82" s="151">
        <v>0</v>
      </c>
      <c r="W82" s="152" t="str">
        <f ca="1">IF(U82="","0",IF(T82="","0",(U82-T82+1)-COUNTIFS(INDIRECT(getCalendarRange(O82)),"&gt;=" &amp; T82,INDIRECT(getCalendarRange(O82)),"&lt;=" &amp; U82)))</f>
        <v>0</v>
      </c>
      <c r="X82" s="153"/>
      <c r="Y82" s="148"/>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t="str">
        <f>G82 &amp; " " &amp; IF(M82="","",TEXT(M82,"M/D-")) &amp; IF(N82="","",TEXT(N82,"M/D")) &amp; " "</f>
        <v xml:space="preserve">테스트실시 6/1-6/7 </v>
      </c>
      <c r="HW82" s="207" t="str">
        <f>TEXT(AB82,"#0.00%") &amp; " "</f>
        <v xml:space="preserve">0.00% </v>
      </c>
      <c r="HX82" s="208"/>
      <c r="HY82" s="208"/>
      <c r="HZ82" s="208"/>
      <c r="IA82" s="208"/>
      <c r="IB82" s="208"/>
      <c r="IC82" s="208"/>
      <c r="ID82" s="208"/>
      <c r="IE82" s="208"/>
      <c r="IF82" s="208"/>
      <c r="IG82" s="208"/>
      <c r="IH82" s="208"/>
      <c r="II82" s="208"/>
      <c r="IJ82" s="208"/>
      <c r="IK82" s="208"/>
    </row>
    <row r="83" spans="1:245">
      <c r="A83" s="147"/>
      <c r="B83" s="147"/>
      <c r="C83" s="147">
        <v>4</v>
      </c>
      <c r="D83" s="157" t="s">
        <v>981</v>
      </c>
      <c r="E83" s="148"/>
      <c r="F83" s="148"/>
      <c r="G83" s="148"/>
      <c r="H83" s="148" t="s">
        <v>949</v>
      </c>
      <c r="I83" s="148"/>
      <c r="J83" s="148"/>
      <c r="K83" s="148"/>
      <c r="L83" s="148"/>
      <c r="M83" s="126">
        <v>43617</v>
      </c>
      <c r="N83" s="126">
        <v>43623</v>
      </c>
      <c r="O83" s="148"/>
      <c r="P83" s="149">
        <v>7</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4" t="s">
        <v>1103</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H83 &amp; " " &amp; IF(M83="","",TEXT(M83,"M/D-")) &amp; IF(N83="","",TEXT(N83,"M/D")) &amp; " "</f>
        <v xml:space="preserve">통합테스트실시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982</v>
      </c>
      <c r="E84" s="148"/>
      <c r="F84" s="148"/>
      <c r="G84" s="148"/>
      <c r="H84" s="148" t="s">
        <v>950</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시스템테스트실시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t="s">
        <v>996</v>
      </c>
      <c r="C85" s="147">
        <v>2</v>
      </c>
      <c r="D85" s="157" t="s">
        <v>1012</v>
      </c>
      <c r="E85" s="148"/>
      <c r="F85" s="148" t="s">
        <v>951</v>
      </c>
      <c r="G85" s="148"/>
      <c r="H85" s="148"/>
      <c r="I85" s="148"/>
      <c r="J85" s="148"/>
      <c r="K85" s="148"/>
      <c r="L85" s="148"/>
      <c r="M85" s="126">
        <v>43623</v>
      </c>
      <c r="N85" s="126">
        <v>43630</v>
      </c>
      <c r="O85" s="148"/>
      <c r="P85" s="149">
        <v>17</v>
      </c>
      <c r="Q85" s="149">
        <v>0</v>
      </c>
      <c r="R85" s="150">
        <f ca="1">IF(M85="","0",(N85-M85+1)-COUNTIFS(INDIRECT(getCalendarRange(O85)),"&gt;=" &amp; M85,INDIRECT(getCalendarRange(O85)),"&lt;=" &amp; N85))</f>
        <v>8</v>
      </c>
      <c r="S85" s="150">
        <f ca="1">IF(M85&gt;TODAY(),0,IF(N85&lt;TODAY(),R85,(TODAY()-M85+1)-COUNTIFS(INDIRECT(getCalendarRange(O85)),"&gt;=" &amp; M85,INDIRECT(getCalendarRange(O85)),"&lt;=" &amp; TODAY())))</f>
        <v>0</v>
      </c>
      <c r="T85" s="126"/>
      <c r="U85" s="126"/>
      <c r="V85" s="151">
        <v>0</v>
      </c>
      <c r="W85" s="152" t="str">
        <f ca="1">IF(U85="","0",IF(T85="","0",(U85-T85+1)-COUNTIFS(INDIRECT(getCalendarRange(O85)),"&gt;=" &amp; T85,INDIRECT(getCalendarRange(O85)),"&lt;=" &amp; U85)))</f>
        <v>0</v>
      </c>
      <c r="X85" s="153"/>
      <c r="Y85" s="148"/>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c r="HW85" s="208"/>
      <c r="HX85" s="208"/>
      <c r="HY85" s="208"/>
      <c r="HZ85" s="208"/>
      <c r="IA85" s="208"/>
      <c r="IB85" s="208" t="str">
        <f>F85 &amp; " " &amp; IF(M85="","",TEXT(M85,"M/D-")) &amp; IF(N85="","",TEXT(N85,"M/D")) &amp; " "</f>
        <v xml:space="preserve">구현 6/7-6/14 </v>
      </c>
      <c r="IC85" s="207" t="str">
        <f>TEXT(AB85,"#0.00%") &amp; " "</f>
        <v xml:space="preserve">0.00% </v>
      </c>
      <c r="ID85" s="208"/>
      <c r="IE85" s="208"/>
      <c r="IF85" s="208"/>
      <c r="IG85" s="208"/>
      <c r="IH85" s="208"/>
      <c r="II85" s="208"/>
      <c r="IJ85" s="208"/>
      <c r="IK85" s="208"/>
    </row>
    <row r="86" spans="1:245">
      <c r="A86" s="147"/>
      <c r="B86" s="147" t="s">
        <v>996</v>
      </c>
      <c r="C86" s="147">
        <v>3</v>
      </c>
      <c r="D86" s="157" t="s">
        <v>1013</v>
      </c>
      <c r="E86" s="148"/>
      <c r="F86" s="148"/>
      <c r="G86" s="148" t="s">
        <v>952</v>
      </c>
      <c r="H86" s="148"/>
      <c r="I86" s="148"/>
      <c r="J86" s="148"/>
      <c r="K86" s="148"/>
      <c r="L86" s="148"/>
      <c r="M86" s="126">
        <v>43623</v>
      </c>
      <c r="N86" s="126">
        <v>43625</v>
      </c>
      <c r="O86" s="148"/>
      <c r="P86" s="149">
        <v>3</v>
      </c>
      <c r="Q86" s="149">
        <v>0</v>
      </c>
      <c r="R86" s="150">
        <f ca="1">IF(M86="","0",(N86-M86+1)-COUNTIFS(INDIRECT(getCalendarRange(O86)),"&gt;=" &amp; M86,INDIRECT(getCalendarRange(O86)),"&lt;=" &amp; N86))</f>
        <v>3</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G86 &amp; " " &amp; IF(M86="","",TEXT(M86,"M/D-")) &amp; IF(N86="","",TEXT(N86,"M/D")) &amp; " "</f>
        <v xml:space="preserve">구현준비 6/7-6/9 </v>
      </c>
      <c r="IC86" s="207" t="str">
        <f>TEXT(AB86,"#0.00%") &amp; " "</f>
        <v xml:space="preserve">0.00% </v>
      </c>
      <c r="ID86" s="208"/>
      <c r="IE86" s="208"/>
      <c r="IF86" s="208"/>
      <c r="IG86" s="208"/>
      <c r="IH86" s="208"/>
      <c r="II86" s="208"/>
      <c r="IJ86" s="208"/>
      <c r="IK86" s="208"/>
    </row>
    <row r="87" spans="1:245">
      <c r="A87" s="147"/>
      <c r="B87" s="147"/>
      <c r="C87" s="147">
        <v>4</v>
      </c>
      <c r="D87" s="157" t="s">
        <v>983</v>
      </c>
      <c r="E87" s="148"/>
      <c r="F87" s="148"/>
      <c r="G87" s="148"/>
      <c r="H87" s="148" t="s">
        <v>953</v>
      </c>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c r="W87" s="152" t="str">
        <f ca="1">IF(U87="","0",IF(T87="","0",(U87-T87+1)-COUNTIFS(INDIRECT(getCalendarRange(O87)),"&gt;=" &amp; T87,INDIRECT(getCalendarRange(O87)),"&lt;=" &amp; U87)))</f>
        <v>0</v>
      </c>
      <c r="X87" s="153">
        <v>1</v>
      </c>
      <c r="Y87" s="183" t="s">
        <v>1083</v>
      </c>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H87 &amp; " " &amp; IF(M87="","",TEXT(M87,"M/D-")) &amp; IF(N87="","",TEXT(N87,"M/D")) &amp; " "</f>
        <v xml:space="preserve">Release 및 Contingency plan수립 6/7-6/9 </v>
      </c>
      <c r="IC87" s="207" t="str">
        <f>TEXT(AB87,"#0.00%") &amp; " "</f>
        <v xml:space="preserve">0.00% </v>
      </c>
      <c r="ID87" s="208"/>
      <c r="IE87" s="208"/>
      <c r="IF87" s="208"/>
      <c r="IG87" s="208"/>
      <c r="IH87" s="208"/>
      <c r="II87" s="208"/>
      <c r="IJ87" s="208"/>
      <c r="IK87" s="208"/>
    </row>
    <row r="88" spans="1:245">
      <c r="A88" s="147"/>
      <c r="B88" s="147" t="s">
        <v>996</v>
      </c>
      <c r="C88" s="147">
        <v>3</v>
      </c>
      <c r="D88" s="157" t="s">
        <v>1014</v>
      </c>
      <c r="E88" s="148"/>
      <c r="F88" s="148"/>
      <c r="G88" s="148" t="s">
        <v>954</v>
      </c>
      <c r="H88" s="148"/>
      <c r="I88" s="148"/>
      <c r="J88" s="148"/>
      <c r="K88" s="148"/>
      <c r="L88" s="148"/>
      <c r="M88" s="126">
        <v>43624</v>
      </c>
      <c r="N88" s="126">
        <v>43630</v>
      </c>
      <c r="O88" s="148"/>
      <c r="P88" s="149">
        <v>14</v>
      </c>
      <c r="Q88" s="149">
        <v>0</v>
      </c>
      <c r="R88" s="150">
        <f ca="1">IF(M88="","0",(N88-M88+1)-COUNTIFS(INDIRECT(getCalendarRange(O88)),"&gt;=" &amp; M88,INDIRECT(getCalendarRange(O88)),"&lt;=" &amp; N88))</f>
        <v>7</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c r="IC88" s="208" t="str">
        <f>G88 &amp; " " &amp; IF(M88="","",TEXT(M88,"M/D-")) &amp; IF(N88="","",TEXT(N88,"M/D")) &amp; " "</f>
        <v xml:space="preserve">Conversion 및 Release 6/8-6/14 </v>
      </c>
      <c r="ID88" s="207" t="str">
        <f>TEXT(AB88,"#0.00%") &amp; " "</f>
        <v xml:space="preserve">0.00% </v>
      </c>
      <c r="IE88" s="208"/>
      <c r="IF88" s="208"/>
      <c r="IG88" s="208"/>
      <c r="IH88" s="208"/>
      <c r="II88" s="208"/>
      <c r="IJ88" s="208"/>
      <c r="IK88" s="208"/>
    </row>
    <row r="89" spans="1:245">
      <c r="A89" s="147"/>
      <c r="B89" s="147"/>
      <c r="C89" s="147">
        <v>4</v>
      </c>
      <c r="D89" s="157" t="s">
        <v>984</v>
      </c>
      <c r="E89" s="148"/>
      <c r="F89" s="148"/>
      <c r="G89" s="148"/>
      <c r="H89" s="148" t="s">
        <v>955</v>
      </c>
      <c r="I89" s="148"/>
      <c r="J89" s="148"/>
      <c r="K89" s="148"/>
      <c r="L89" s="148"/>
      <c r="M89" s="126">
        <v>43624</v>
      </c>
      <c r="N89" s="126">
        <v>43629</v>
      </c>
      <c r="O89" s="148"/>
      <c r="P89" s="149">
        <v>6</v>
      </c>
      <c r="Q89" s="149">
        <v>0</v>
      </c>
      <c r="R89" s="150">
        <f ca="1">IF(M89="","0",(N89-M89+1)-COUNTIFS(INDIRECT(getCalendarRange(O89)),"&gt;=" &amp; M89,INDIRECT(getCalendarRange(O89)),"&lt;=" &amp; N89))</f>
        <v>6</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1085</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H89 &amp; " " &amp; IF(M89="","",TEXT(M89,"M/D-")) &amp; IF(N89="","",TEXT(N89,"M/D")) &amp; " "</f>
        <v xml:space="preserve">데이터베이스구축 6/8-6/13 </v>
      </c>
      <c r="ID89" s="207" t="str">
        <f>TEXT(AB89,"#0.00%") &amp; " "</f>
        <v xml:space="preserve">0.00% </v>
      </c>
      <c r="IE89" s="208"/>
      <c r="IF89" s="208"/>
      <c r="IG89" s="208"/>
      <c r="IH89" s="208"/>
      <c r="II89" s="208"/>
      <c r="IJ89" s="208"/>
      <c r="IK89" s="208"/>
    </row>
    <row r="90" spans="1:245">
      <c r="A90" s="147"/>
      <c r="B90" s="147"/>
      <c r="C90" s="147">
        <v>4</v>
      </c>
      <c r="D90" s="157" t="s">
        <v>985</v>
      </c>
      <c r="E90" s="148"/>
      <c r="F90" s="148"/>
      <c r="G90" s="148"/>
      <c r="H90" s="148" t="s">
        <v>956</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1083</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소프트웨어설치 6/8-6/13 </v>
      </c>
      <c r="ID90" s="207" t="str">
        <f>TEXT(AB90,"#0.00%") &amp; " "</f>
        <v xml:space="preserve">0.00% </v>
      </c>
      <c r="IE90" s="208"/>
      <c r="IF90" s="208"/>
      <c r="IG90" s="208"/>
      <c r="IH90" s="208"/>
      <c r="II90" s="208"/>
      <c r="IJ90" s="208"/>
      <c r="IK90" s="208"/>
    </row>
    <row r="91" spans="1:245">
      <c r="A91" s="147"/>
      <c r="B91" s="147"/>
      <c r="C91" s="147">
        <v>4</v>
      </c>
      <c r="D91" s="157" t="s">
        <v>986</v>
      </c>
      <c r="E91" s="148"/>
      <c r="F91" s="148"/>
      <c r="G91" s="148"/>
      <c r="H91" s="148" t="s">
        <v>957</v>
      </c>
      <c r="I91" s="148"/>
      <c r="J91" s="148"/>
      <c r="K91" s="148"/>
      <c r="L91" s="148"/>
      <c r="M91" s="126">
        <v>43629</v>
      </c>
      <c r="N91" s="126">
        <v>43630</v>
      </c>
      <c r="O91" s="148"/>
      <c r="P91" s="149">
        <v>2</v>
      </c>
      <c r="Q91" s="149">
        <v>0</v>
      </c>
      <c r="R91" s="150">
        <f ca="1">IF(M91="","0",(N91-M91+1)-COUNTIFS(INDIRECT(getCalendarRange(O91)),"&gt;=" &amp; M91,INDIRECT(getCalendarRange(O91)),"&lt;=" &amp; N91))</f>
        <v>2</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4" t="s">
        <v>1103</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c r="ID91" s="208"/>
      <c r="IE91" s="208"/>
      <c r="IF91" s="208"/>
      <c r="IG91" s="208"/>
      <c r="IH91" s="208" t="str">
        <f>H91 &amp; " " &amp; IF(M91="","",TEXT(M91,"M/D-")) &amp; IF(N91="","",TEXT(N91,"M/D")) &amp; " "</f>
        <v xml:space="preserve">시스템오픈 6/13-6/14 </v>
      </c>
      <c r="II91" s="207" t="str">
        <f>TEXT(AB91,"#0.00%") &amp; " "</f>
        <v xml:space="preserve">0.00% </v>
      </c>
      <c r="IJ91" s="208"/>
      <c r="IK91" s="208"/>
    </row>
    <row r="92" spans="1:245">
      <c r="A92" s="159"/>
      <c r="B92" s="159"/>
      <c r="C92" s="159"/>
      <c r="D92" s="160"/>
      <c r="E92" s="161"/>
      <c r="F92" s="161"/>
      <c r="G92" s="161"/>
      <c r="H92" s="161"/>
      <c r="I92" s="161"/>
      <c r="J92" s="161"/>
      <c r="K92" s="161"/>
      <c r="L92" s="161"/>
      <c r="M92" s="162"/>
      <c r="N92" s="162"/>
      <c r="O92" s="161"/>
      <c r="P92" s="163"/>
      <c r="Q92" s="163"/>
      <c r="R92" s="164"/>
      <c r="S92" s="164"/>
      <c r="T92" s="162"/>
      <c r="U92" s="162"/>
      <c r="V92" s="165"/>
      <c r="W92" s="166"/>
      <c r="X92" s="167"/>
      <c r="Y92" s="161"/>
      <c r="Z92" s="168"/>
      <c r="AA92" s="169"/>
      <c r="AB92" s="170"/>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71"/>
      <c r="CE92" s="171"/>
      <c r="CF92" s="171"/>
      <c r="CG92" s="171"/>
      <c r="CH92" s="171"/>
      <c r="CI92" s="171"/>
      <c r="CJ92" s="171"/>
      <c r="CK92" s="171"/>
      <c r="CL92" s="171"/>
      <c r="CM92" s="171"/>
      <c r="CN92" s="171"/>
      <c r="CO92" s="171"/>
      <c r="CP92" s="171"/>
      <c r="CQ92" s="171"/>
      <c r="CR92" s="171"/>
      <c r="CS92" s="171"/>
      <c r="CT92" s="171"/>
      <c r="CU92" s="171"/>
      <c r="CV92" s="171"/>
      <c r="CW92" s="171"/>
      <c r="CX92" s="171"/>
      <c r="CY92" s="171"/>
      <c r="CZ92" s="171"/>
      <c r="DA92" s="171"/>
      <c r="DB92" s="171"/>
      <c r="DC92" s="171"/>
      <c r="DD92" s="171"/>
      <c r="DE92" s="171"/>
      <c r="DF92" s="171"/>
      <c r="DG92" s="171"/>
      <c r="DH92" s="171"/>
      <c r="DI92" s="171"/>
      <c r="DJ92" s="171"/>
      <c r="DK92" s="171"/>
      <c r="DL92" s="171"/>
      <c r="DM92" s="171"/>
      <c r="DN92" s="171"/>
      <c r="DO92" s="171"/>
      <c r="DP92" s="171"/>
      <c r="DQ92" s="171"/>
      <c r="DR92" s="171"/>
      <c r="DS92" s="171"/>
      <c r="DT92" s="171"/>
      <c r="DU92" s="171"/>
      <c r="DV92" s="171"/>
      <c r="DW92" s="171"/>
      <c r="DX92" s="171"/>
      <c r="DY92" s="171"/>
      <c r="DZ92" s="171"/>
      <c r="EA92" s="171"/>
      <c r="EB92" s="171"/>
      <c r="EC92" s="171"/>
      <c r="ED92" s="171"/>
      <c r="EE92" s="171"/>
      <c r="EF92" s="171"/>
      <c r="EG92" s="171"/>
      <c r="EH92" s="171"/>
      <c r="EI92" s="171"/>
      <c r="EJ92" s="171"/>
      <c r="EK92" s="171"/>
      <c r="EL92" s="171"/>
      <c r="EM92" s="171"/>
      <c r="EN92" s="171"/>
      <c r="EO92" s="171"/>
      <c r="EP92" s="171"/>
      <c r="EQ92" s="171"/>
      <c r="ER92" s="171"/>
      <c r="ES92" s="171"/>
      <c r="ET92" s="171"/>
      <c r="EU92" s="171"/>
      <c r="EV92" s="171"/>
      <c r="EW92" s="171"/>
      <c r="EX92" s="171"/>
      <c r="EY92" s="171"/>
      <c r="EZ92" s="171"/>
      <c r="FA92" s="171"/>
      <c r="FB92" s="171"/>
      <c r="FC92" s="171"/>
      <c r="FD92" s="171"/>
      <c r="FE92" s="171"/>
      <c r="FF92" s="171"/>
      <c r="FG92" s="171"/>
      <c r="FH92" s="171"/>
      <c r="FI92" s="171"/>
      <c r="FJ92" s="171"/>
      <c r="FK92" s="171"/>
      <c r="FL92" s="171"/>
      <c r="FM92" s="171"/>
      <c r="FN92" s="171"/>
      <c r="FO92" s="171"/>
      <c r="FP92" s="171"/>
      <c r="FQ92" s="171"/>
      <c r="FR92" s="171"/>
      <c r="FS92" s="171"/>
      <c r="FT92" s="171"/>
      <c r="FU92" s="171"/>
      <c r="FV92" s="171"/>
      <c r="FW92" s="171"/>
      <c r="FX92" s="171"/>
      <c r="FY92" s="171"/>
      <c r="FZ92" s="171"/>
      <c r="GA92" s="171"/>
      <c r="GB92" s="171"/>
      <c r="GC92" s="171"/>
      <c r="GD92" s="171"/>
      <c r="GE92" s="171"/>
      <c r="GF92" s="171"/>
      <c r="GG92" s="171"/>
      <c r="GH92" s="171"/>
      <c r="GI92" s="171"/>
      <c r="GJ92" s="171"/>
      <c r="GK92" s="171"/>
      <c r="GL92" s="171"/>
      <c r="GM92" s="171"/>
      <c r="GN92" s="171"/>
      <c r="GO92" s="171"/>
      <c r="GP92" s="171"/>
      <c r="GQ92" s="171"/>
      <c r="GR92" s="171"/>
      <c r="GS92" s="171"/>
      <c r="GT92" s="171"/>
      <c r="GU92" s="171"/>
      <c r="GV92" s="171"/>
      <c r="GW92" s="171"/>
      <c r="GX92" s="171"/>
      <c r="GY92" s="171"/>
      <c r="GZ92" s="171"/>
      <c r="HA92" s="171"/>
      <c r="HB92" s="171"/>
      <c r="HC92" s="171"/>
      <c r="HD92" s="171"/>
      <c r="HE92" s="171"/>
      <c r="HF92" s="171"/>
      <c r="HG92" s="171"/>
      <c r="HH92" s="171"/>
      <c r="HI92" s="171"/>
      <c r="HJ92" s="171"/>
      <c r="HK92" s="171"/>
      <c r="HL92" s="171"/>
      <c r="HM92" s="171"/>
      <c r="HN92" s="171"/>
      <c r="HO92" s="171"/>
      <c r="HP92" s="171"/>
      <c r="HQ92" s="171"/>
      <c r="HR92" s="171"/>
      <c r="HS92" s="171"/>
      <c r="HT92" s="171"/>
      <c r="HU92" s="171"/>
      <c r="HV92" s="171"/>
      <c r="HW92" s="171"/>
      <c r="HX92" s="171"/>
      <c r="HY92" s="171"/>
      <c r="HZ92" s="171"/>
      <c r="IA92" s="171"/>
      <c r="IB92" s="171"/>
      <c r="IC92" s="171"/>
      <c r="ID92" s="171"/>
      <c r="IE92" s="171"/>
      <c r="IF92" s="171"/>
      <c r="IG92" s="171"/>
      <c r="IH92" s="171"/>
      <c r="II92" s="171"/>
      <c r="IJ92" s="171"/>
      <c r="IK92" s="171"/>
    </row>
    <row r="93" spans="1:245">
      <c r="A93" s="147"/>
      <c r="B93" s="147"/>
      <c r="C93" s="147"/>
      <c r="D93" s="157"/>
      <c r="E93" s="148"/>
      <c r="F93" s="148"/>
      <c r="G93" s="148"/>
      <c r="H93" s="148"/>
      <c r="I93" s="148"/>
      <c r="J93" s="148"/>
      <c r="K93" s="148"/>
      <c r="L93" s="148"/>
      <c r="M93" s="126"/>
      <c r="N93" s="126"/>
      <c r="O93" s="148"/>
      <c r="P93" s="149"/>
      <c r="Q93" s="149"/>
      <c r="R93" s="150"/>
      <c r="S93" s="150"/>
      <c r="T93" s="126"/>
      <c r="U93" s="126"/>
      <c r="V93" s="151"/>
      <c r="W93" s="152"/>
      <c r="X93" s="153"/>
      <c r="Y93" s="148"/>
      <c r="Z93" s="154"/>
      <c r="AA93" s="155"/>
      <c r="AB93" s="156"/>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59"/>
      <c r="B105" s="159"/>
      <c r="C105" s="159"/>
      <c r="D105" s="160"/>
      <c r="E105" s="161"/>
      <c r="F105" s="161"/>
      <c r="G105" s="161"/>
      <c r="H105" s="161"/>
      <c r="I105" s="161"/>
      <c r="J105" s="161"/>
      <c r="K105" s="161"/>
      <c r="L105" s="161"/>
      <c r="M105" s="162"/>
      <c r="N105" s="162"/>
      <c r="O105" s="161"/>
      <c r="P105" s="163"/>
      <c r="Q105" s="163"/>
      <c r="R105" s="164"/>
      <c r="S105" s="164"/>
      <c r="T105" s="162"/>
      <c r="U105" s="162"/>
      <c r="V105" s="165"/>
      <c r="W105" s="166"/>
      <c r="X105" s="167"/>
      <c r="Y105" s="161"/>
      <c r="Z105" s="168"/>
      <c r="AA105" s="169"/>
      <c r="AB105" s="170"/>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59"/>
      <c r="B132" s="159"/>
      <c r="C132" s="159"/>
      <c r="D132" s="160"/>
      <c r="E132" s="161"/>
      <c r="F132" s="161"/>
      <c r="G132" s="161"/>
      <c r="H132" s="161"/>
      <c r="I132" s="161"/>
      <c r="J132" s="161"/>
      <c r="K132" s="161"/>
      <c r="L132" s="161"/>
      <c r="M132" s="162"/>
      <c r="N132" s="162"/>
      <c r="O132" s="161"/>
      <c r="P132" s="163"/>
      <c r="Q132" s="163"/>
      <c r="R132" s="164"/>
      <c r="S132" s="164"/>
      <c r="T132" s="162"/>
      <c r="U132" s="162"/>
      <c r="V132" s="165"/>
      <c r="W132" s="166"/>
      <c r="X132" s="167"/>
      <c r="Y132" s="161"/>
      <c r="Z132" s="168"/>
      <c r="AA132" s="169"/>
      <c r="AB132" s="170"/>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59"/>
      <c r="B138" s="159"/>
      <c r="C138" s="159"/>
      <c r="D138" s="160"/>
      <c r="E138" s="161"/>
      <c r="F138" s="161"/>
      <c r="G138" s="161"/>
      <c r="H138" s="161"/>
      <c r="I138" s="161"/>
      <c r="J138" s="161"/>
      <c r="K138" s="161"/>
      <c r="L138" s="161"/>
      <c r="M138" s="162"/>
      <c r="N138" s="162"/>
      <c r="O138" s="161"/>
      <c r="P138" s="163"/>
      <c r="Q138" s="163"/>
      <c r="R138" s="164"/>
      <c r="S138" s="164"/>
      <c r="T138" s="162"/>
      <c r="U138" s="162"/>
      <c r="V138" s="165"/>
      <c r="W138" s="166"/>
      <c r="X138" s="167"/>
      <c r="Y138" s="161"/>
      <c r="Z138" s="168"/>
      <c r="AA138" s="169"/>
      <c r="AB138" s="170"/>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8"/>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35"/>
      <c r="B220" s="135"/>
      <c r="C220" s="135"/>
      <c r="D220" s="136"/>
      <c r="E220" s="137"/>
      <c r="F220" s="137"/>
      <c r="G220" s="137"/>
      <c r="H220" s="137"/>
      <c r="I220" s="137"/>
      <c r="J220" s="137"/>
      <c r="K220" s="137"/>
      <c r="L220" s="137"/>
      <c r="M220" s="138"/>
      <c r="N220" s="138"/>
      <c r="O220" s="137"/>
      <c r="P220" s="139"/>
      <c r="Q220" s="139"/>
      <c r="R220" s="140"/>
      <c r="S220" s="140"/>
      <c r="T220" s="138"/>
      <c r="U220" s="138"/>
      <c r="V220" s="141"/>
      <c r="W220" s="142"/>
      <c r="X220" s="143"/>
      <c r="Y220" s="137"/>
      <c r="Z220" s="144"/>
      <c r="AA220" s="145"/>
      <c r="AB220"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K57:L57"/>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1">
    <cfRule type="expression" dxfId="9" priority="7">
      <formula>AC$4=TODAY()</formula>
    </cfRule>
    <cfRule type="expression" dxfId="8" priority="8">
      <formula>AND(AC$4&gt;= $M5,AC$4&lt;=$N5, $B5="G")</formula>
    </cfRule>
    <cfRule type="expression" dxfId="7" priority="9" stopIfTrue="1">
      <formula>AND(AC$4&gt;= $M5,AC$4&lt;=$N5)</formula>
    </cfRule>
    <cfRule type="expression" dxfId="6" priority="10" stopIfTrue="1">
      <formula>COUNTIF(STD_CAL,AC$4)&gt;0</formula>
    </cfRule>
  </conditionalFormatting>
  <conditionalFormatting sqref="D5:AB91">
    <cfRule type="expression" dxfId="0"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6"/>
      <c r="M1" s="237"/>
      <c r="N1" s="237"/>
      <c r="O1" s="87"/>
      <c r="P1" s="87"/>
      <c r="Q1" s="87"/>
    </row>
    <row r="2" spans="1:17" s="41" customFormat="1" ht="12.75">
      <c r="A2" s="124" t="s">
        <v>1017</v>
      </c>
      <c r="B2" s="40"/>
    </row>
    <row r="3" spans="1:17" s="41" customFormat="1" ht="12.75">
      <c r="A3" s="124" t="s">
        <v>1018</v>
      </c>
      <c r="B3" s="40"/>
    </row>
    <row r="4" spans="1:17" s="41" customFormat="1" ht="12.75">
      <c r="A4" s="238"/>
      <c r="B4" s="238"/>
      <c r="C4" s="42"/>
      <c r="D4" s="43"/>
      <c r="E4" s="43"/>
      <c r="F4" s="43"/>
    </row>
    <row r="5" spans="1:17" s="47" customFormat="1" ht="12.75">
      <c r="A5" s="44"/>
      <c r="B5" s="45"/>
      <c r="C5" s="46"/>
      <c r="D5" s="93"/>
      <c r="E5" s="94"/>
      <c r="F5" s="94"/>
      <c r="G5" s="94"/>
    </row>
    <row r="6" spans="1:17" s="47" customFormat="1" ht="12.75">
      <c r="A6" s="48" t="s">
        <v>1019</v>
      </c>
      <c r="B6" s="49">
        <v>902</v>
      </c>
      <c r="C6" s="47" t="s">
        <v>187</v>
      </c>
      <c r="D6" s="235" t="s">
        <v>1020</v>
      </c>
      <c r="E6" s="235"/>
      <c r="F6" s="235"/>
      <c r="G6" s="235"/>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452</v>
      </c>
      <c r="C9" s="47" t="s">
        <v>187</v>
      </c>
      <c r="D9" s="234" t="s">
        <v>1022</v>
      </c>
      <c r="E9" s="234"/>
      <c r="F9" s="234"/>
      <c r="G9" s="234"/>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4" t="s">
        <v>1081</v>
      </c>
      <c r="E12" s="234"/>
      <c r="F12" s="234"/>
      <c r="G12" s="234"/>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4" t="s">
        <v>1024</v>
      </c>
      <c r="E15" s="234"/>
      <c r="F15" s="234"/>
      <c r="G15" s="234"/>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0.50110864745011086</v>
      </c>
      <c r="D18" s="234" t="s">
        <v>1026</v>
      </c>
      <c r="E18" s="234"/>
      <c r="F18" s="234"/>
      <c r="G18" s="234"/>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4" t="s">
        <v>1028</v>
      </c>
      <c r="E21" s="234"/>
      <c r="F21" s="234"/>
      <c r="G21" s="234"/>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-0.50110864745011086</v>
      </c>
      <c r="D24" s="235" t="s">
        <v>1030</v>
      </c>
      <c r="E24" s="235"/>
      <c r="F24" s="235"/>
      <c r="G24" s="235"/>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4"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0" t="s">
        <v>1034</v>
      </c>
      <c r="B2" s="240"/>
      <c r="C2" s="240"/>
      <c r="D2" s="240"/>
      <c r="E2" s="240"/>
      <c r="F2" s="240"/>
      <c r="G2" s="240"/>
      <c r="H2" s="240"/>
    </row>
    <row r="3" spans="1:9" s="118" customFormat="1" ht="24.75" customHeight="1">
      <c r="A3" s="239" t="s">
        <v>23</v>
      </c>
      <c r="B3" s="239"/>
      <c r="D3" s="239" t="s">
        <v>1035</v>
      </c>
      <c r="E3" s="239"/>
      <c r="G3" s="239" t="s">
        <v>1036</v>
      </c>
      <c r="H3" s="239"/>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2019-03-12T02:39:47Z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